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/>
  <mc:AlternateContent xmlns:mc="http://schemas.openxmlformats.org/markup-compatibility/2006">
    <mc:Choice Requires="x15">
      <x15ac:absPath xmlns:x15ac="http://schemas.microsoft.com/office/spreadsheetml/2010/11/ac" url="C:\Users\mamoun.awad\Desktop\"/>
    </mc:Choice>
  </mc:AlternateContent>
  <xr:revisionPtr revIDLastSave="0" documentId="13_ncr:1_{8187C324-DB99-42D5-BC29-CE9EB2E28701}" xr6:coauthVersionLast="36" xr6:coauthVersionMax="47" xr10:uidLastSave="{00000000-0000-0000-0000-000000000000}"/>
  <bookViews>
    <workbookView xWindow="-120" yWindow="-120" windowWidth="29040" windowHeight="15720" xr2:uid="{EB536319-1EEB-4EAD-864A-1663C9F22822}"/>
  </bookViews>
  <sheets>
    <sheet name="realCompletionTime" sheetId="1" r:id="rId1"/>
    <sheet name="completionTime" sheetId="2" r:id="rId2"/>
    <sheet name="task_completion_rate" sheetId="4" r:id="rId3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4" l="1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2" i="4"/>
  <c r="F19" i="1"/>
  <c r="F24" i="1" s="1"/>
  <c r="F27" i="1"/>
  <c r="E33" i="2"/>
  <c r="E32" i="2"/>
  <c r="D11" i="2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10" i="2"/>
  <c r="D9" i="2"/>
  <c r="G25" i="1"/>
  <c r="G26" i="1"/>
  <c r="G23" i="1"/>
  <c r="G22" i="1"/>
  <c r="G21" i="1"/>
  <c r="G20" i="1"/>
  <c r="G19" i="1"/>
  <c r="F26" i="1"/>
  <c r="F25" i="1"/>
  <c r="F23" i="1"/>
  <c r="F22" i="1"/>
  <c r="F21" i="1"/>
  <c r="F20" i="1"/>
</calcChain>
</file>

<file path=xl/sharedStrings.xml><?xml version="1.0" encoding="utf-8"?>
<sst xmlns="http://schemas.openxmlformats.org/spreadsheetml/2006/main" count="129" uniqueCount="79">
  <si>
    <t xml:space="preserve"> </t>
  </si>
  <si>
    <t>Average Time</t>
  </si>
  <si>
    <t xml:space="preserve">Rigister and Login </t>
  </si>
  <si>
    <t xml:space="preserve">Main Menu </t>
  </si>
  <si>
    <t>Help page</t>
  </si>
  <si>
    <t>Lab Components Page</t>
  </si>
  <si>
    <t>View Lab Page</t>
  </si>
  <si>
    <t>Basic Logic Gates Levels</t>
  </si>
  <si>
    <t>View Leaderboard</t>
  </si>
  <si>
    <t>Real time - task completion</t>
  </si>
  <si>
    <t>Lab</t>
  </si>
  <si>
    <t>Task Average completion time (minutes)</t>
  </si>
  <si>
    <t>Program/wiring AND gate</t>
  </si>
  <si>
    <t>30 minutes (using IC 7408, switches and LEDS and testing)</t>
  </si>
  <si>
    <t>Program/wiring OR gate</t>
  </si>
  <si>
    <t>30 minutes (using IC 7432, switches and LEDS and testing)</t>
  </si>
  <si>
    <t>Program/Wiring NOT Gate</t>
  </si>
  <si>
    <t>30 minutes (using IC 7404, switches and LEDS and testing)</t>
  </si>
  <si>
    <t>Program NAND Gate</t>
  </si>
  <si>
    <t>30 minutes (using IC 7400, switches and LEDS and testing)</t>
  </si>
  <si>
    <t>Program XOR Gate</t>
  </si>
  <si>
    <t>30 minutes (using IC 7486, switches and LEDS and testing)</t>
  </si>
  <si>
    <t>Program Half-adder gate</t>
  </si>
  <si>
    <t>40 minutes including testing</t>
  </si>
  <si>
    <t>Program 1-bit comparator gate</t>
  </si>
  <si>
    <t>45 minutes  including testing</t>
  </si>
  <si>
    <t>Basheer</t>
  </si>
  <si>
    <t>10 to 15</t>
  </si>
  <si>
    <t>20 to 30 (building the circuit from basic gates)</t>
  </si>
  <si>
    <t>15 to 20 (building the circuit from basic gates)</t>
  </si>
  <si>
    <t>DR Asma Husni</t>
  </si>
  <si>
    <t> 20</t>
  </si>
  <si>
    <t> 45</t>
  </si>
  <si>
    <t>ASMA</t>
  </si>
  <si>
    <t>Ahmad</t>
  </si>
  <si>
    <t> 5 minutes</t>
  </si>
  <si>
    <t>15 minutes</t>
  </si>
  <si>
    <t> 15 minutes</t>
  </si>
  <si>
    <t>Tarek</t>
  </si>
  <si>
    <t>Average</t>
  </si>
  <si>
    <t>Basic Logic Gates T.6.6</t>
  </si>
  <si>
    <t>Real Lab Completion Time</t>
  </si>
  <si>
    <t>VR Lab Completion Time</t>
  </si>
  <si>
    <t>Level 1</t>
  </si>
  <si>
    <t>21 minutes</t>
  </si>
  <si>
    <t>6 minutes</t>
  </si>
  <si>
    <t>Level 2</t>
  </si>
  <si>
    <t>37 minutes</t>
  </si>
  <si>
    <t>10 minutes</t>
  </si>
  <si>
    <t>STD</t>
  </si>
  <si>
    <t>avg</t>
  </si>
  <si>
    <t>std</t>
  </si>
  <si>
    <t>Real Lab</t>
  </si>
  <si>
    <t>VR Lab</t>
  </si>
  <si>
    <t>Task completion rate</t>
  </si>
  <si>
    <t>number of students that completed the task</t>
  </si>
  <si>
    <t>T.1.1</t>
  </si>
  <si>
    <t>T.1.2</t>
  </si>
  <si>
    <t>T.2.1</t>
  </si>
  <si>
    <t>T.2.2</t>
  </si>
  <si>
    <t>T.3.1</t>
  </si>
  <si>
    <t>T.3.2</t>
  </si>
  <si>
    <t>T.4.1</t>
  </si>
  <si>
    <t>T.4.2</t>
  </si>
  <si>
    <t>T.5.1</t>
  </si>
  <si>
    <t>T.5.2</t>
  </si>
  <si>
    <t>T.6.1</t>
  </si>
  <si>
    <t>T.6.2</t>
  </si>
  <si>
    <t>T.6.3</t>
  </si>
  <si>
    <t>T.6.4</t>
  </si>
  <si>
    <t>T.6.5</t>
  </si>
  <si>
    <t>T.6.6</t>
  </si>
  <si>
    <t>T.7.1</t>
  </si>
  <si>
    <t>T.7.2</t>
  </si>
  <si>
    <t>Total number of students</t>
  </si>
  <si>
    <t>Lab Instructor</t>
  </si>
  <si>
    <t>Time reported from real labs by instructors</t>
  </si>
  <si>
    <t>Completion time on the VR application</t>
  </si>
  <si>
    <t>Task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</si>
</sst>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rgb="FF000000"/>
      <name val="Aptos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trike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0" fillId="0" borderId="5" xfId="0" applyBorder="1"/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0" fillId="0" borderId="5" xfId="0" applyFill="1" applyBorder="1"/>
    <xf numFmtId="0" fontId="3" fillId="2" borderId="1" xfId="0" applyFont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0" fillId="0" borderId="6" xfId="0" applyFill="1" applyBorder="1"/>
    <xf numFmtId="0" fontId="5" fillId="0" borderId="5" xfId="0" applyFont="1" applyBorder="1" applyAlignment="1">
      <alignment vertical="center"/>
    </xf>
    <xf numFmtId="9" fontId="0" fillId="0" borderId="0" xfId="0" applyNumberFormat="1"/>
    <xf numFmtId="2" fontId="0" fillId="0" borderId="0" xfId="0" applyNumberFormat="1"/>
    <xf numFmtId="0" fontId="0" fillId="3" borderId="0" xfId="0" applyFill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Time Per Task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realCompletionTime!$B$2</c:f>
              <c:strCache>
                <c:ptCount val="1"/>
                <c:pt idx="0">
                  <c:v>Average Time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realCompletionTime!$A$3:$A$9</c:f>
              <c:strCache>
                <c:ptCount val="7"/>
                <c:pt idx="0">
                  <c:v>Rigister and Login </c:v>
                </c:pt>
                <c:pt idx="1">
                  <c:v>Main Menu </c:v>
                </c:pt>
                <c:pt idx="2">
                  <c:v>Help page</c:v>
                </c:pt>
                <c:pt idx="3">
                  <c:v>Lab Components Page</c:v>
                </c:pt>
                <c:pt idx="4">
                  <c:v>View Lab Page</c:v>
                </c:pt>
                <c:pt idx="5">
                  <c:v>Basic Logic Gates Levels</c:v>
                </c:pt>
                <c:pt idx="6">
                  <c:v>View Leaderboard</c:v>
                </c:pt>
              </c:strCache>
            </c:strRef>
          </c:cat>
          <c:val>
            <c:numRef>
              <c:f>realCompletionTime!$B$3:$B$9</c:f>
              <c:numCache>
                <c:formatCode>General</c:formatCode>
                <c:ptCount val="7"/>
                <c:pt idx="0">
                  <c:v>8</c:v>
                </c:pt>
                <c:pt idx="1">
                  <c:v>0.3</c:v>
                </c:pt>
                <c:pt idx="2">
                  <c:v>1</c:v>
                </c:pt>
                <c:pt idx="3">
                  <c:v>2.5</c:v>
                </c:pt>
                <c:pt idx="4">
                  <c:v>0.4</c:v>
                </c:pt>
                <c:pt idx="5">
                  <c:v>5.4</c:v>
                </c:pt>
                <c:pt idx="6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A-47FF-B573-004329E8DD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005191071"/>
        <c:axId val="2005207295"/>
      </c:barChart>
      <c:catAx>
        <c:axId val="2005191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207295"/>
        <c:crosses val="autoZero"/>
        <c:auto val="1"/>
        <c:lblAlgn val="ctr"/>
        <c:lblOffset val="100"/>
        <c:noMultiLvlLbl val="0"/>
      </c:catAx>
      <c:valAx>
        <c:axId val="2005207295"/>
        <c:scaling>
          <c:orientation val="minMax"/>
          <c:max val="8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Minutes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5191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task_completion_rate!$B$1</c:f>
              <c:strCache>
                <c:ptCount val="1"/>
                <c:pt idx="0">
                  <c:v>Task completion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task_completion_rate!$A$2:$A$19</c:f>
              <c:strCache>
                <c:ptCount val="18"/>
                <c:pt idx="0">
                  <c:v>T.1.1</c:v>
                </c:pt>
                <c:pt idx="1">
                  <c:v>T.1.2</c:v>
                </c:pt>
                <c:pt idx="2">
                  <c:v>T.2.1</c:v>
                </c:pt>
                <c:pt idx="3">
                  <c:v>T.2.2</c:v>
                </c:pt>
                <c:pt idx="4">
                  <c:v>T.3.1</c:v>
                </c:pt>
                <c:pt idx="5">
                  <c:v>T.3.2</c:v>
                </c:pt>
                <c:pt idx="6">
                  <c:v>T.4.1</c:v>
                </c:pt>
                <c:pt idx="7">
                  <c:v>T.4.2</c:v>
                </c:pt>
                <c:pt idx="8">
                  <c:v>T.5.1</c:v>
                </c:pt>
                <c:pt idx="9">
                  <c:v>T.5.2</c:v>
                </c:pt>
                <c:pt idx="10">
                  <c:v>T.6.1</c:v>
                </c:pt>
                <c:pt idx="11">
                  <c:v>T.6.2</c:v>
                </c:pt>
                <c:pt idx="12">
                  <c:v>T.6.3</c:v>
                </c:pt>
                <c:pt idx="13">
                  <c:v>T.6.4</c:v>
                </c:pt>
                <c:pt idx="14">
                  <c:v>T.6.5</c:v>
                </c:pt>
                <c:pt idx="15">
                  <c:v>T.6.6</c:v>
                </c:pt>
                <c:pt idx="16">
                  <c:v>T.7.1</c:v>
                </c:pt>
                <c:pt idx="17">
                  <c:v>T.7.2</c:v>
                </c:pt>
              </c:strCache>
            </c:strRef>
          </c:cat>
          <c:val>
            <c:numRef>
              <c:f>task_completion_rate!$B$2:$B$19</c:f>
              <c:numCache>
                <c:formatCode>0%</c:formatCode>
                <c:ptCount val="1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0.95454545454545459</c:v>
                </c:pt>
                <c:pt idx="7">
                  <c:v>0.81818181818181823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0.36363636363636365</c:v>
                </c:pt>
                <c:pt idx="12">
                  <c:v>0.18181818181818182</c:v>
                </c:pt>
                <c:pt idx="13">
                  <c:v>9.0909090909090912E-2</c:v>
                </c:pt>
                <c:pt idx="14">
                  <c:v>0.90909090909090906</c:v>
                </c:pt>
                <c:pt idx="15">
                  <c:v>0.95454545454545459</c:v>
                </c:pt>
                <c:pt idx="16">
                  <c:v>1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4C-45B5-93B0-D7E2FCE2F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79662896"/>
        <c:axId val="779667472"/>
      </c:barChart>
      <c:catAx>
        <c:axId val="77966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667472"/>
        <c:crosses val="autoZero"/>
        <c:auto val="1"/>
        <c:lblAlgn val="ctr"/>
        <c:lblOffset val="100"/>
        <c:noMultiLvlLbl val="0"/>
      </c:catAx>
      <c:valAx>
        <c:axId val="779667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7966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280985</xdr:colOff>
      <xdr:row>1</xdr:row>
      <xdr:rowOff>123825</xdr:rowOff>
    </xdr:from>
    <xdr:to>
      <xdr:col>14</xdr:col>
      <xdr:colOff>333374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5BDC34-70F5-4909-87BB-77723ED21E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1300162</xdr:colOff>
      <xdr:row>20</xdr:row>
      <xdr:rowOff>161925</xdr:rowOff>
    </xdr:from>
    <xdr:to>
      <xdr:col>4</xdr:col>
      <xdr:colOff>585787</xdr:colOff>
      <xdr:row>36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4248AE-6E81-4385-9393-CAAAD2B26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832DC7-3A62-4D04-B289-4C603561A4F2}" name="Table1" displayName="Table1" ref="A2:B9" totalsRowShown="0" headerRowDxfId="0" headerRowBorderDxfId="4" tableBorderDxfId="5" totalsRowBorderDxfId="3">
  <tableColumns count="2">
    <tableColumn id="1" xr3:uid="{3E85D445-0DBE-40BD-A0ED-2CDC468A464B}" name="Task" dataDxfId="2"/>
    <tableColumn id="2" xr3:uid="{E89A76CB-54FE-4FAD-A1FF-274186FD429A}" name="Average Tim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00706D7-ECCD-4F2A-BC2E-1D07AA03D697}" name="Table14" displayName="Table14" ref="A1:B19" totalsRowShown="0">
  <tableColumns count="2">
    <tableColumn id="1" xr3:uid="{2B94421B-E4CA-4B57-907A-BE6897C72F80}" name=" "/>
    <tableColumn id="2" xr3:uid="{DBE453CA-01DE-49DE-B24E-A0F5F1708921}" name="Task completion rate" dataDxfId="6">
      <calculatedColumnFormula xml:space="preserve"> C2 / G2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CBA8B-EBB9-423E-B505-EA3A92AA46C7}">
  <dimension ref="A1:N38"/>
  <sheetViews>
    <sheetView tabSelected="1" topLeftCell="A2" workbookViewId="0">
      <selection activeCell="A3" sqref="A3"/>
    </sheetView>
  </sheetViews>
  <sheetFormatPr defaultRowHeight="14"/>
  <cols>
    <col min="1" max="1" width="34.1640625" customWidth="1"/>
    <col min="2" max="3" width="11.5" customWidth="1"/>
    <col min="4" max="5" width="9.33203125" customWidth="1"/>
  </cols>
  <sheetData>
    <row r="1" spans="1:2">
      <c r="A1" s="20" t="s">
        <v>77</v>
      </c>
    </row>
    <row r="2" spans="1:2">
      <c r="A2" s="21" t="s">
        <v>78</v>
      </c>
      <c r="B2" s="22" t="s">
        <v>1</v>
      </c>
    </row>
    <row r="3" spans="1:2">
      <c r="A3" s="23" t="s">
        <v>2</v>
      </c>
      <c r="B3" s="24">
        <v>8</v>
      </c>
    </row>
    <row r="4" spans="1:2">
      <c r="A4" s="23" t="s">
        <v>3</v>
      </c>
      <c r="B4" s="24">
        <v>0.3</v>
      </c>
    </row>
    <row r="5" spans="1:2">
      <c r="A5" s="23" t="s">
        <v>4</v>
      </c>
      <c r="B5" s="24">
        <v>1</v>
      </c>
    </row>
    <row r="6" spans="1:2">
      <c r="A6" s="23" t="s">
        <v>5</v>
      </c>
      <c r="B6" s="24">
        <v>2.5</v>
      </c>
    </row>
    <row r="7" spans="1:2">
      <c r="A7" s="23" t="s">
        <v>6</v>
      </c>
      <c r="B7" s="24">
        <v>0.4</v>
      </c>
    </row>
    <row r="8" spans="1:2">
      <c r="A8" s="23" t="s">
        <v>7</v>
      </c>
      <c r="B8" s="24">
        <v>5.4</v>
      </c>
    </row>
    <row r="9" spans="1:2">
      <c r="A9" s="25" t="s">
        <v>8</v>
      </c>
      <c r="B9" s="26">
        <v>0.9</v>
      </c>
    </row>
    <row r="16" spans="1:2">
      <c r="A16" s="20" t="s">
        <v>76</v>
      </c>
    </row>
    <row r="17" spans="1:14">
      <c r="A17" t="s">
        <v>9</v>
      </c>
    </row>
    <row r="18" spans="1:14" ht="14.5">
      <c r="A18" s="5" t="s">
        <v>75</v>
      </c>
      <c r="B18" s="6" t="s">
        <v>26</v>
      </c>
      <c r="C18" s="6" t="s">
        <v>33</v>
      </c>
      <c r="D18" s="6" t="s">
        <v>34</v>
      </c>
      <c r="E18" s="17" t="s">
        <v>38</v>
      </c>
      <c r="F18" s="11" t="s">
        <v>39</v>
      </c>
      <c r="G18" s="11" t="s">
        <v>49</v>
      </c>
    </row>
    <row r="19" spans="1:14" ht="14.5">
      <c r="A19" s="5" t="s">
        <v>12</v>
      </c>
      <c r="B19" s="6">
        <v>30</v>
      </c>
      <c r="C19" s="6">
        <v>12.5</v>
      </c>
      <c r="D19" s="6">
        <v>20</v>
      </c>
      <c r="E19" s="17">
        <v>5</v>
      </c>
      <c r="F19" s="6">
        <f>ROUND(AVERAGE(B19:D19),0)</f>
        <v>21</v>
      </c>
      <c r="G19" s="6">
        <f>_xlfn.STDEV.S(B19:D19)</f>
        <v>8.779711460710617</v>
      </c>
    </row>
    <row r="20" spans="1:14" ht="14.5">
      <c r="A20" s="5" t="s">
        <v>14</v>
      </c>
      <c r="B20" s="6">
        <v>30</v>
      </c>
      <c r="C20" s="6">
        <v>12.5</v>
      </c>
      <c r="D20" s="6">
        <v>20</v>
      </c>
      <c r="E20" s="17">
        <v>5</v>
      </c>
      <c r="F20" s="6">
        <f>ROUND(AVERAGE(B20:D20),0)</f>
        <v>21</v>
      </c>
      <c r="G20" s="6">
        <f t="shared" ref="G20:G26" si="0">_xlfn.STDEV.S(B20:D20)</f>
        <v>8.779711460710617</v>
      </c>
    </row>
    <row r="21" spans="1:14" ht="14.5">
      <c r="A21" s="5" t="s">
        <v>16</v>
      </c>
      <c r="B21" s="6">
        <v>30</v>
      </c>
      <c r="C21" s="6">
        <v>12.5</v>
      </c>
      <c r="D21" s="6">
        <v>20</v>
      </c>
      <c r="E21" s="17">
        <v>5</v>
      </c>
      <c r="F21" s="6">
        <f>ROUND(AVERAGE(B21:D21),0)</f>
        <v>21</v>
      </c>
      <c r="G21" s="6">
        <f t="shared" si="0"/>
        <v>8.779711460710617</v>
      </c>
    </row>
    <row r="22" spans="1:14" ht="14.5">
      <c r="A22" s="5" t="s">
        <v>18</v>
      </c>
      <c r="B22" s="6">
        <v>30</v>
      </c>
      <c r="C22" s="6">
        <v>12.5</v>
      </c>
      <c r="D22" s="6">
        <v>20</v>
      </c>
      <c r="E22" s="17">
        <v>5</v>
      </c>
      <c r="F22" s="6">
        <f>ROUND(AVERAGE(B22:D22),0)</f>
        <v>21</v>
      </c>
      <c r="G22" s="6">
        <f t="shared" si="0"/>
        <v>8.779711460710617</v>
      </c>
    </row>
    <row r="23" spans="1:14" ht="14.5">
      <c r="A23" s="5" t="s">
        <v>20</v>
      </c>
      <c r="B23" s="6">
        <v>30</v>
      </c>
      <c r="C23" s="6">
        <v>12.5</v>
      </c>
      <c r="D23" s="6">
        <v>20</v>
      </c>
      <c r="E23" s="17">
        <v>5</v>
      </c>
      <c r="F23" s="6">
        <f>ROUND(AVERAGE(B23:D23),0)</f>
        <v>21</v>
      </c>
      <c r="G23" s="6">
        <f t="shared" si="0"/>
        <v>8.779711460710617</v>
      </c>
    </row>
    <row r="24" spans="1:14" ht="14.5">
      <c r="A24" s="5"/>
      <c r="B24" s="6"/>
      <c r="C24" s="6"/>
      <c r="D24" s="6"/>
      <c r="E24" s="17"/>
      <c r="F24" s="6">
        <f>AVERAGE(F19:F23)</f>
        <v>21</v>
      </c>
      <c r="G24" s="6"/>
    </row>
    <row r="25" spans="1:14" ht="14.5">
      <c r="A25" s="5" t="s">
        <v>22</v>
      </c>
      <c r="B25" s="6">
        <v>40</v>
      </c>
      <c r="C25" s="6">
        <v>25</v>
      </c>
      <c r="D25" s="6">
        <v>45</v>
      </c>
      <c r="E25" s="17">
        <v>15</v>
      </c>
      <c r="F25" s="6">
        <f>ROUND(AVERAGE(B25:D25),0)</f>
        <v>37</v>
      </c>
      <c r="G25" s="6">
        <f>_xlfn.STDEV.S(B25:D25)</f>
        <v>10.408329997330661</v>
      </c>
    </row>
    <row r="26" spans="1:14" ht="14.5">
      <c r="A26" s="5" t="s">
        <v>24</v>
      </c>
      <c r="B26" s="6">
        <v>45</v>
      </c>
      <c r="C26" s="6">
        <v>17.5</v>
      </c>
      <c r="D26" s="6">
        <v>45</v>
      </c>
      <c r="E26" s="17">
        <v>15</v>
      </c>
      <c r="F26" s="6">
        <f>ROUND(AVERAGE(B26:D26),0)</f>
        <v>36</v>
      </c>
      <c r="G26" s="6">
        <f t="shared" si="0"/>
        <v>15.877132402714706</v>
      </c>
    </row>
    <row r="27" spans="1:14">
      <c r="F27" s="16">
        <f>AVERAGE(F25:F26)</f>
        <v>36.5</v>
      </c>
    </row>
    <row r="30" spans="1:14" ht="14.5" thickBot="1">
      <c r="A30" t="s">
        <v>30</v>
      </c>
      <c r="G30" t="s">
        <v>34</v>
      </c>
      <c r="J30" t="s">
        <v>26</v>
      </c>
    </row>
    <row r="31" spans="1:14" ht="16" thickBot="1">
      <c r="A31" s="1" t="s">
        <v>10</v>
      </c>
      <c r="B31" s="2" t="s">
        <v>11</v>
      </c>
      <c r="G31" s="7" t="s">
        <v>10</v>
      </c>
      <c r="H31" s="8" t="s">
        <v>11</v>
      </c>
      <c r="J31" s="1" t="s">
        <v>10</v>
      </c>
      <c r="K31" s="2" t="s">
        <v>11</v>
      </c>
      <c r="M31" s="7" t="s">
        <v>10</v>
      </c>
      <c r="N31" s="8" t="s">
        <v>11</v>
      </c>
    </row>
    <row r="32" spans="1:14" ht="16" thickBot="1">
      <c r="A32" s="3" t="s">
        <v>12</v>
      </c>
      <c r="B32" s="4" t="s">
        <v>27</v>
      </c>
      <c r="G32" s="9" t="s">
        <v>12</v>
      </c>
      <c r="H32" s="10" t="s">
        <v>31</v>
      </c>
      <c r="J32" s="3" t="s">
        <v>12</v>
      </c>
      <c r="K32" s="4" t="s">
        <v>13</v>
      </c>
      <c r="M32" s="9" t="s">
        <v>12</v>
      </c>
      <c r="N32" s="10" t="s">
        <v>35</v>
      </c>
    </row>
    <row r="33" spans="1:14" ht="16" thickBot="1">
      <c r="A33" s="3" t="s">
        <v>14</v>
      </c>
      <c r="B33" s="4" t="s">
        <v>27</v>
      </c>
      <c r="G33" s="9" t="s">
        <v>14</v>
      </c>
      <c r="H33" s="10" t="s">
        <v>31</v>
      </c>
      <c r="J33" s="3" t="s">
        <v>14</v>
      </c>
      <c r="K33" s="4" t="s">
        <v>15</v>
      </c>
      <c r="M33" s="9" t="s">
        <v>14</v>
      </c>
      <c r="N33" s="10" t="s">
        <v>35</v>
      </c>
    </row>
    <row r="34" spans="1:14" ht="16" thickBot="1">
      <c r="A34" s="3" t="s">
        <v>16</v>
      </c>
      <c r="B34" s="4" t="s">
        <v>27</v>
      </c>
      <c r="G34" s="9" t="s">
        <v>16</v>
      </c>
      <c r="H34" s="10" t="s">
        <v>31</v>
      </c>
      <c r="J34" s="3" t="s">
        <v>16</v>
      </c>
      <c r="K34" s="4" t="s">
        <v>17</v>
      </c>
      <c r="M34" s="9" t="s">
        <v>16</v>
      </c>
      <c r="N34" s="10" t="s">
        <v>35</v>
      </c>
    </row>
    <row r="35" spans="1:14" ht="16" thickBot="1">
      <c r="A35" s="3" t="s">
        <v>18</v>
      </c>
      <c r="B35" s="4" t="s">
        <v>27</v>
      </c>
      <c r="G35" s="9" t="s">
        <v>18</v>
      </c>
      <c r="H35" s="10" t="s">
        <v>31</v>
      </c>
      <c r="J35" s="3" t="s">
        <v>18</v>
      </c>
      <c r="K35" s="4" t="s">
        <v>19</v>
      </c>
      <c r="M35" s="9" t="s">
        <v>18</v>
      </c>
      <c r="N35" s="10" t="s">
        <v>35</v>
      </c>
    </row>
    <row r="36" spans="1:14" ht="16" thickBot="1">
      <c r="A36" s="3" t="s">
        <v>20</v>
      </c>
      <c r="B36" s="4" t="s">
        <v>27</v>
      </c>
      <c r="G36" s="9" t="s">
        <v>20</v>
      </c>
      <c r="H36" s="10" t="s">
        <v>31</v>
      </c>
      <c r="J36" s="3" t="s">
        <v>20</v>
      </c>
      <c r="K36" s="4" t="s">
        <v>21</v>
      </c>
      <c r="M36" s="9" t="s">
        <v>20</v>
      </c>
      <c r="N36" s="10" t="s">
        <v>35</v>
      </c>
    </row>
    <row r="37" spans="1:14" ht="16" thickBot="1">
      <c r="A37" s="3" t="s">
        <v>22</v>
      </c>
      <c r="B37" s="4" t="s">
        <v>28</v>
      </c>
      <c r="G37" s="9" t="s">
        <v>22</v>
      </c>
      <c r="H37" s="10" t="s">
        <v>32</v>
      </c>
      <c r="J37" s="3" t="s">
        <v>22</v>
      </c>
      <c r="K37" s="4" t="s">
        <v>23</v>
      </c>
      <c r="M37" s="9" t="s">
        <v>22</v>
      </c>
      <c r="N37" s="10" t="s">
        <v>36</v>
      </c>
    </row>
    <row r="38" spans="1:14" ht="16" thickBot="1">
      <c r="A38" s="3" t="s">
        <v>24</v>
      </c>
      <c r="B38" s="4" t="s">
        <v>29</v>
      </c>
      <c r="G38" s="9" t="s">
        <v>24</v>
      </c>
      <c r="H38" s="10" t="s">
        <v>32</v>
      </c>
      <c r="J38" s="3" t="s">
        <v>24</v>
      </c>
      <c r="K38" s="4" t="s">
        <v>25</v>
      </c>
      <c r="M38" s="9" t="s">
        <v>24</v>
      </c>
      <c r="N38" s="10" t="s">
        <v>37</v>
      </c>
    </row>
  </sheetData>
  <pageMargins left="0.7" right="0.7" top="0.75" bottom="0.75" header="0.3" footer="0.3"/>
  <pageSetup orientation="portrait" horizontalDpi="4294967295" verticalDpi="4294967295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A567D-3DC2-481A-B3B7-093AB779199E}">
  <dimension ref="A1:I33"/>
  <sheetViews>
    <sheetView workbookViewId="0">
      <selection activeCell="H15" sqref="H15"/>
    </sheetView>
  </sheetViews>
  <sheetFormatPr defaultRowHeight="14"/>
  <cols>
    <col min="1" max="1" width="25" customWidth="1"/>
    <col min="2" max="2" width="17.08203125" customWidth="1"/>
    <col min="3" max="3" width="25.58203125" customWidth="1"/>
  </cols>
  <sheetData>
    <row r="1" spans="1:9" ht="28.5" thickBot="1">
      <c r="A1" s="12" t="s">
        <v>40</v>
      </c>
      <c r="B1" s="13" t="s">
        <v>41</v>
      </c>
      <c r="C1" s="13" t="s">
        <v>42</v>
      </c>
    </row>
    <row r="2" spans="1:9" ht="14.5" thickBot="1">
      <c r="A2" s="14" t="s">
        <v>43</v>
      </c>
      <c r="B2" s="15" t="s">
        <v>44</v>
      </c>
      <c r="C2" s="15" t="s">
        <v>45</v>
      </c>
    </row>
    <row r="3" spans="1:9" ht="14.5" thickBot="1">
      <c r="A3" s="14" t="s">
        <v>46</v>
      </c>
      <c r="B3" s="15" t="s">
        <v>47</v>
      </c>
      <c r="C3" s="15" t="s">
        <v>48</v>
      </c>
    </row>
    <row r="7" spans="1:9">
      <c r="D7" t="s">
        <v>52</v>
      </c>
      <c r="G7" t="s">
        <v>53</v>
      </c>
      <c r="I7" t="s">
        <v>0</v>
      </c>
    </row>
    <row r="8" spans="1:9">
      <c r="D8">
        <v>1</v>
      </c>
      <c r="E8">
        <v>20</v>
      </c>
    </row>
    <row r="9" spans="1:9">
      <c r="D9">
        <f>D8+1</f>
        <v>2</v>
      </c>
      <c r="E9">
        <v>20</v>
      </c>
    </row>
    <row r="10" spans="1:9">
      <c r="D10">
        <f t="shared" ref="D10:D29" si="0">D9+1</f>
        <v>3</v>
      </c>
      <c r="E10">
        <v>20</v>
      </c>
    </row>
    <row r="11" spans="1:9">
      <c r="D11">
        <f t="shared" si="0"/>
        <v>4</v>
      </c>
      <c r="E11">
        <v>20</v>
      </c>
    </row>
    <row r="12" spans="1:9">
      <c r="D12">
        <f t="shared" si="0"/>
        <v>5</v>
      </c>
      <c r="E12">
        <v>20</v>
      </c>
    </row>
    <row r="13" spans="1:9">
      <c r="D13">
        <f t="shared" si="0"/>
        <v>6</v>
      </c>
      <c r="E13">
        <v>20</v>
      </c>
    </row>
    <row r="14" spans="1:9">
      <c r="D14">
        <f t="shared" si="0"/>
        <v>7</v>
      </c>
      <c r="E14">
        <v>20</v>
      </c>
    </row>
    <row r="15" spans="1:9">
      <c r="D15">
        <f t="shared" si="0"/>
        <v>8</v>
      </c>
      <c r="E15">
        <v>30</v>
      </c>
    </row>
    <row r="16" spans="1:9">
      <c r="D16">
        <f t="shared" si="0"/>
        <v>9</v>
      </c>
      <c r="E16">
        <v>30</v>
      </c>
    </row>
    <row r="17" spans="4:5">
      <c r="D17">
        <f t="shared" si="0"/>
        <v>10</v>
      </c>
      <c r="E17">
        <v>30</v>
      </c>
    </row>
    <row r="18" spans="4:5">
      <c r="D18">
        <f t="shared" si="0"/>
        <v>11</v>
      </c>
      <c r="E18">
        <v>30</v>
      </c>
    </row>
    <row r="19" spans="4:5">
      <c r="D19">
        <f t="shared" si="0"/>
        <v>12</v>
      </c>
      <c r="E19">
        <v>30</v>
      </c>
    </row>
    <row r="20" spans="4:5">
      <c r="D20">
        <f t="shared" si="0"/>
        <v>13</v>
      </c>
      <c r="E20">
        <v>30</v>
      </c>
    </row>
    <row r="21" spans="4:5">
      <c r="D21">
        <f t="shared" si="0"/>
        <v>14</v>
      </c>
      <c r="E21">
        <v>30</v>
      </c>
    </row>
    <row r="22" spans="4:5">
      <c r="D22">
        <f t="shared" si="0"/>
        <v>15</v>
      </c>
      <c r="E22">
        <v>30</v>
      </c>
    </row>
    <row r="23" spans="4:5">
      <c r="D23">
        <f t="shared" si="0"/>
        <v>16</v>
      </c>
      <c r="E23">
        <v>30</v>
      </c>
    </row>
    <row r="24" spans="4:5">
      <c r="D24">
        <f t="shared" si="0"/>
        <v>17</v>
      </c>
      <c r="E24">
        <v>30</v>
      </c>
    </row>
    <row r="25" spans="4:5">
      <c r="D25">
        <f t="shared" si="0"/>
        <v>18</v>
      </c>
      <c r="E25">
        <v>40</v>
      </c>
    </row>
    <row r="26" spans="4:5">
      <c r="D26">
        <f t="shared" si="0"/>
        <v>19</v>
      </c>
      <c r="E26">
        <v>45</v>
      </c>
    </row>
    <row r="27" spans="4:5">
      <c r="D27">
        <f t="shared" si="0"/>
        <v>20</v>
      </c>
      <c r="E27">
        <v>40</v>
      </c>
    </row>
    <row r="28" spans="4:5">
      <c r="D28">
        <f t="shared" si="0"/>
        <v>21</v>
      </c>
      <c r="E28">
        <v>50</v>
      </c>
    </row>
    <row r="29" spans="4:5">
      <c r="D29">
        <f t="shared" si="0"/>
        <v>22</v>
      </c>
      <c r="E29">
        <v>50</v>
      </c>
    </row>
    <row r="32" spans="4:5">
      <c r="D32" t="s">
        <v>50</v>
      </c>
      <c r="E32">
        <f>AVERAGE(E8:E29)</f>
        <v>30.227272727272727</v>
      </c>
    </row>
    <row r="33" spans="4:5">
      <c r="D33" t="s">
        <v>51</v>
      </c>
      <c r="E33">
        <f>_xlfn.STDEV.S(E8:E29)</f>
        <v>9.5714447244161676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F3E1-748B-4009-8E65-D1B5B6CBC32E}">
  <dimension ref="A1:G21"/>
  <sheetViews>
    <sheetView workbookViewId="0">
      <selection activeCell="G32" sqref="G32"/>
    </sheetView>
  </sheetViews>
  <sheetFormatPr defaultRowHeight="14"/>
  <cols>
    <col min="1" max="1" width="10.25" customWidth="1"/>
    <col min="2" max="2" width="20.75" customWidth="1"/>
    <col min="3" max="3" width="39.25" customWidth="1"/>
    <col min="4" max="4" width="9.33203125" customWidth="1"/>
  </cols>
  <sheetData>
    <row r="1" spans="1:7">
      <c r="A1" t="s">
        <v>0</v>
      </c>
      <c r="B1" t="s">
        <v>54</v>
      </c>
      <c r="C1" t="s">
        <v>55</v>
      </c>
      <c r="G1" t="s">
        <v>74</v>
      </c>
    </row>
    <row r="2" spans="1:7">
      <c r="A2" t="s">
        <v>56</v>
      </c>
      <c r="B2" s="18">
        <f t="shared" ref="B2:B19" si="0" xml:space="preserve"> C2 / G2</f>
        <v>1</v>
      </c>
      <c r="C2" s="19">
        <v>22</v>
      </c>
      <c r="G2">
        <v>22</v>
      </c>
    </row>
    <row r="3" spans="1:7">
      <c r="A3" t="s">
        <v>57</v>
      </c>
      <c r="B3" s="18">
        <f t="shared" si="0"/>
        <v>1</v>
      </c>
      <c r="C3" s="19">
        <v>22</v>
      </c>
      <c r="G3">
        <v>22</v>
      </c>
    </row>
    <row r="4" spans="1:7">
      <c r="A4" t="s">
        <v>58</v>
      </c>
      <c r="B4" s="18">
        <f t="shared" si="0"/>
        <v>1</v>
      </c>
      <c r="C4" s="19">
        <v>22</v>
      </c>
      <c r="G4">
        <v>22</v>
      </c>
    </row>
    <row r="5" spans="1:7">
      <c r="A5" t="s">
        <v>59</v>
      </c>
      <c r="B5" s="18">
        <f t="shared" si="0"/>
        <v>1</v>
      </c>
      <c r="C5" s="19">
        <v>22</v>
      </c>
      <c r="G5">
        <v>22</v>
      </c>
    </row>
    <row r="6" spans="1:7">
      <c r="A6" t="s">
        <v>60</v>
      </c>
      <c r="B6" s="18">
        <f t="shared" si="0"/>
        <v>1</v>
      </c>
      <c r="C6" s="19">
        <v>22</v>
      </c>
      <c r="G6">
        <v>22</v>
      </c>
    </row>
    <row r="7" spans="1:7">
      <c r="A7" t="s">
        <v>61</v>
      </c>
      <c r="B7" s="18">
        <f t="shared" si="0"/>
        <v>1</v>
      </c>
      <c r="C7" s="19">
        <v>22</v>
      </c>
      <c r="G7">
        <v>22</v>
      </c>
    </row>
    <row r="8" spans="1:7">
      <c r="A8" t="s">
        <v>62</v>
      </c>
      <c r="B8" s="18">
        <f t="shared" si="0"/>
        <v>0.95454545454545459</v>
      </c>
      <c r="C8" s="19">
        <v>21</v>
      </c>
      <c r="G8">
        <v>22</v>
      </c>
    </row>
    <row r="9" spans="1:7">
      <c r="A9" t="s">
        <v>63</v>
      </c>
      <c r="B9" s="18">
        <f t="shared" si="0"/>
        <v>0.81818181818181823</v>
      </c>
      <c r="C9" s="19">
        <v>18</v>
      </c>
      <c r="G9">
        <v>22</v>
      </c>
    </row>
    <row r="10" spans="1:7">
      <c r="A10" t="s">
        <v>64</v>
      </c>
      <c r="B10" s="18">
        <f t="shared" si="0"/>
        <v>1</v>
      </c>
      <c r="C10" s="19">
        <v>22</v>
      </c>
      <c r="G10">
        <v>22</v>
      </c>
    </row>
    <row r="11" spans="1:7">
      <c r="A11" t="s">
        <v>65</v>
      </c>
      <c r="B11" s="18">
        <f t="shared" si="0"/>
        <v>1</v>
      </c>
      <c r="C11" s="19">
        <v>22</v>
      </c>
      <c r="G11">
        <v>22</v>
      </c>
    </row>
    <row r="12" spans="1:7">
      <c r="A12" t="s">
        <v>66</v>
      </c>
      <c r="B12" s="18">
        <f t="shared" si="0"/>
        <v>1</v>
      </c>
      <c r="C12" s="19">
        <v>22</v>
      </c>
      <c r="G12">
        <v>22</v>
      </c>
    </row>
    <row r="13" spans="1:7">
      <c r="A13" t="s">
        <v>67</v>
      </c>
      <c r="B13" s="18">
        <f t="shared" si="0"/>
        <v>0.36363636363636365</v>
      </c>
      <c r="C13" s="19">
        <v>8</v>
      </c>
      <c r="G13">
        <v>22</v>
      </c>
    </row>
    <row r="14" spans="1:7">
      <c r="A14" t="s">
        <v>68</v>
      </c>
      <c r="B14" s="18">
        <f t="shared" si="0"/>
        <v>0.18181818181818182</v>
      </c>
      <c r="C14" s="19">
        <v>4</v>
      </c>
      <c r="G14">
        <v>22</v>
      </c>
    </row>
    <row r="15" spans="1:7">
      <c r="A15" t="s">
        <v>69</v>
      </c>
      <c r="B15" s="18">
        <f t="shared" si="0"/>
        <v>9.0909090909090912E-2</v>
      </c>
      <c r="C15" s="19">
        <v>2</v>
      </c>
      <c r="G15">
        <v>22</v>
      </c>
    </row>
    <row r="16" spans="1:7">
      <c r="A16" t="s">
        <v>70</v>
      </c>
      <c r="B16" s="18">
        <f t="shared" si="0"/>
        <v>0.90909090909090906</v>
      </c>
      <c r="C16" s="19">
        <v>20</v>
      </c>
      <c r="G16">
        <v>22</v>
      </c>
    </row>
    <row r="17" spans="1:7">
      <c r="A17" t="s">
        <v>71</v>
      </c>
      <c r="B17" s="18">
        <f t="shared" si="0"/>
        <v>0.95454545454545459</v>
      </c>
      <c r="C17" s="19">
        <v>21</v>
      </c>
      <c r="G17">
        <v>22</v>
      </c>
    </row>
    <row r="18" spans="1:7">
      <c r="A18" t="s">
        <v>72</v>
      </c>
      <c r="B18" s="18">
        <f t="shared" si="0"/>
        <v>1</v>
      </c>
      <c r="C18" s="19">
        <v>22</v>
      </c>
      <c r="G18">
        <v>22</v>
      </c>
    </row>
    <row r="19" spans="1:7">
      <c r="A19" t="s">
        <v>73</v>
      </c>
      <c r="B19" s="18">
        <f t="shared" si="0"/>
        <v>1</v>
      </c>
      <c r="C19" s="19">
        <v>22</v>
      </c>
      <c r="G19">
        <v>22</v>
      </c>
    </row>
    <row r="21" spans="1:7">
      <c r="C21" s="19">
        <f>AVERAGE(C2:C19)</f>
        <v>18.666666666666668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realCompletionTime</vt:lpstr>
      <vt:lpstr>completionTime</vt:lpstr>
      <vt:lpstr>task_completion_rate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Mariam Ali Baloud Alnuaimi</dc:creator>
  <cp:keywords/>
  <dc:description/>
  <cp:lastModifiedBy>Mamoun Awad</cp:lastModifiedBy>
  <cp:revision/>
  <dcterms:created xsi:type="dcterms:W3CDTF">2024-03-24T06:45:06Z</dcterms:created>
  <dcterms:modified xsi:type="dcterms:W3CDTF">2025-06-24T20:17:51Z</dcterms:modified>
  <cp:category/>
  <cp:contentStatus/>
</cp:coreProperties>
</file>