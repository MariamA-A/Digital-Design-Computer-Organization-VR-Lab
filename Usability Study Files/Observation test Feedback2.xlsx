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C:\Users\mamoun.awad\Desktop\"/>
    </mc:Choice>
  </mc:AlternateContent>
  <xr:revisionPtr revIDLastSave="0" documentId="13_ncr:1_{A3498C8B-888B-4BAA-945C-19164F330B62}" xr6:coauthVersionLast="36" xr6:coauthVersionMax="47" xr10:uidLastSave="{00000000-0000-0000-0000-000000000000}"/>
  <bookViews>
    <workbookView xWindow="-120" yWindow="-120" windowWidth="29040" windowHeight="15720" activeTab="2" xr2:uid="{00000000-000D-0000-FFFF-FFFF00000000}"/>
  </bookViews>
  <sheets>
    <sheet name="Form responses 1-compiled" sheetId="12" r:id="rId1"/>
    <sheet name="Form responses 1-means-std" sheetId="2" r:id="rId2"/>
    <sheet name="Form responses -raw" sheetId="1" r:id="rId3"/>
    <sheet name="UsabilityScaleOrigin" sheetId="9" r:id="rId4"/>
    <sheet name="UsabilityScale" sheetId="10" r:id="rId5"/>
    <sheet name="UsabilityScale2_Paper" sheetId="11" r:id="rId6"/>
  </sheets>
  <calcPr calcId="191029"/>
</workbook>
</file>

<file path=xl/calcChain.xml><?xml version="1.0" encoding="utf-8"?>
<calcChain xmlns="http://schemas.openxmlformats.org/spreadsheetml/2006/main">
  <c r="I89" i="12" l="1"/>
  <c r="I87" i="12"/>
  <c r="I83" i="12"/>
  <c r="H89" i="12"/>
  <c r="H88" i="12"/>
  <c r="H87" i="12"/>
  <c r="H86" i="12"/>
  <c r="H85" i="12"/>
  <c r="H84" i="12"/>
  <c r="H83" i="12"/>
  <c r="H82" i="12"/>
  <c r="H81" i="12"/>
  <c r="H80" i="12"/>
  <c r="M72" i="12" l="1"/>
  <c r="M70" i="12"/>
  <c r="M69" i="12"/>
  <c r="M67" i="12"/>
  <c r="M64" i="12"/>
  <c r="K72" i="12"/>
  <c r="K71" i="12"/>
  <c r="K69" i="12"/>
  <c r="K68" i="12"/>
  <c r="K66" i="12"/>
  <c r="I72" i="12"/>
  <c r="I71" i="12"/>
  <c r="I70" i="12"/>
  <c r="I69" i="12"/>
  <c r="I68" i="12"/>
  <c r="I67" i="12"/>
  <c r="I65" i="12"/>
  <c r="L72" i="12"/>
  <c r="L71" i="12"/>
  <c r="L70" i="12"/>
  <c r="L69" i="12"/>
  <c r="L68" i="12"/>
  <c r="L67" i="12"/>
  <c r="L66" i="12"/>
  <c r="L65" i="12"/>
  <c r="L64" i="12"/>
  <c r="L63" i="12"/>
  <c r="J72" i="12"/>
  <c r="J71" i="12"/>
  <c r="J70" i="12"/>
  <c r="J69" i="12"/>
  <c r="J68" i="12"/>
  <c r="J67" i="12"/>
  <c r="J66" i="12"/>
  <c r="J65" i="12"/>
  <c r="J64" i="12"/>
  <c r="J63" i="12"/>
  <c r="H72" i="12"/>
  <c r="H71" i="12"/>
  <c r="H70" i="12"/>
  <c r="H69" i="12"/>
  <c r="H68" i="12"/>
  <c r="H67" i="12"/>
  <c r="H66" i="12"/>
  <c r="H65" i="12"/>
  <c r="H64" i="12"/>
  <c r="H63" i="12"/>
  <c r="L48" i="12"/>
  <c r="L55" i="12"/>
  <c r="M55" i="12" s="1"/>
  <c r="L54" i="12"/>
  <c r="M54" i="12" s="1"/>
  <c r="L53" i="12"/>
  <c r="M53" i="12" s="1"/>
  <c r="L52" i="12"/>
  <c r="M52" i="12" s="1"/>
  <c r="L51" i="12"/>
  <c r="L50" i="12"/>
  <c r="L49" i="12"/>
  <c r="L47" i="12"/>
  <c r="L46" i="12"/>
  <c r="M46" i="12"/>
  <c r="J55" i="12"/>
  <c r="K55" i="12" s="1"/>
  <c r="J54" i="12"/>
  <c r="K54" i="12" s="1"/>
  <c r="K53" i="12"/>
  <c r="J53" i="12"/>
  <c r="K52" i="12"/>
  <c r="J52" i="12"/>
  <c r="J51" i="12"/>
  <c r="J50" i="12"/>
  <c r="J49" i="12"/>
  <c r="K49" i="12" s="1"/>
  <c r="J48" i="12"/>
  <c r="J47" i="12"/>
  <c r="J46" i="12"/>
  <c r="K46" i="12" s="1"/>
  <c r="I55" i="12"/>
  <c r="H55" i="12"/>
  <c r="H54" i="12"/>
  <c r="I54" i="12" s="1"/>
  <c r="H53" i="12"/>
  <c r="I53" i="12" s="1"/>
  <c r="H52" i="12"/>
  <c r="I52" i="12" s="1"/>
  <c r="H51" i="12"/>
  <c r="I51" i="12" s="1"/>
  <c r="H50" i="12"/>
  <c r="I50" i="12" s="1"/>
  <c r="H49" i="12"/>
  <c r="H48" i="12"/>
  <c r="I48" i="12" s="1"/>
  <c r="H47" i="12"/>
  <c r="I46" i="12"/>
  <c r="H46" i="12"/>
  <c r="H32" i="12"/>
  <c r="H33" i="12"/>
  <c r="H34" i="12"/>
  <c r="H35" i="12"/>
  <c r="H38" i="12"/>
  <c r="M41" i="12"/>
  <c r="M40" i="12"/>
  <c r="M39" i="12"/>
  <c r="M38" i="12"/>
  <c r="M35" i="12"/>
  <c r="M32" i="12"/>
  <c r="K41" i="12"/>
  <c r="K40" i="12"/>
  <c r="K39" i="12"/>
  <c r="K37" i="12"/>
  <c r="K32" i="12"/>
  <c r="I41" i="12"/>
  <c r="I40" i="12"/>
  <c r="I39" i="12"/>
  <c r="I37" i="12"/>
  <c r="I36" i="12"/>
  <c r="L41" i="12"/>
  <c r="L40" i="12"/>
  <c r="L39" i="12"/>
  <c r="L38" i="12"/>
  <c r="L37" i="12"/>
  <c r="L36" i="12"/>
  <c r="L35" i="12"/>
  <c r="L34" i="12"/>
  <c r="L33" i="12"/>
  <c r="L32" i="12"/>
  <c r="J41" i="12"/>
  <c r="J40" i="12"/>
  <c r="J39" i="12"/>
  <c r="J38" i="12"/>
  <c r="J37" i="12"/>
  <c r="J36" i="12"/>
  <c r="J35" i="12"/>
  <c r="J34" i="12"/>
  <c r="J33" i="12"/>
  <c r="J32" i="12"/>
  <c r="H41" i="12"/>
  <c r="H40" i="12"/>
  <c r="H39" i="12"/>
  <c r="H37" i="12"/>
  <c r="H36" i="12"/>
  <c r="R38" i="12"/>
  <c r="AR27" i="12"/>
  <c r="AQ27" i="12"/>
  <c r="AP27" i="12"/>
  <c r="AO27" i="12"/>
  <c r="AN27" i="12"/>
  <c r="AM27" i="12"/>
  <c r="AL27" i="12"/>
  <c r="AK27" i="12"/>
  <c r="AJ27" i="12"/>
  <c r="AI27" i="12"/>
  <c r="AH27" i="12"/>
  <c r="AG27" i="12"/>
  <c r="AF27" i="12"/>
  <c r="AE27" i="12"/>
  <c r="AD27" i="12"/>
  <c r="AB27" i="12"/>
  <c r="AA27" i="12"/>
  <c r="Z27" i="12"/>
  <c r="Y27" i="12"/>
  <c r="X27" i="12"/>
  <c r="W27" i="12"/>
  <c r="V27" i="12"/>
  <c r="U27" i="12"/>
  <c r="T27" i="12"/>
  <c r="S27" i="12"/>
  <c r="R27" i="12"/>
  <c r="Q27" i="12"/>
  <c r="P27" i="12"/>
  <c r="O27" i="12"/>
  <c r="N27" i="12"/>
  <c r="M27" i="12"/>
  <c r="L27" i="12"/>
  <c r="K27" i="12"/>
  <c r="J27" i="12"/>
  <c r="I27" i="12"/>
  <c r="H27" i="12"/>
  <c r="G27" i="12"/>
  <c r="F27" i="12"/>
  <c r="E27" i="12"/>
  <c r="D27" i="12"/>
  <c r="C27" i="12"/>
  <c r="B27" i="12"/>
  <c r="AR26" i="12"/>
  <c r="AQ26" i="12"/>
  <c r="AP26" i="12"/>
  <c r="AO26" i="12"/>
  <c r="AN26" i="12"/>
  <c r="AM26" i="12"/>
  <c r="AL26" i="12"/>
  <c r="AK26" i="12"/>
  <c r="AJ26" i="12"/>
  <c r="AI26" i="12"/>
  <c r="AH26" i="12"/>
  <c r="AG26" i="12"/>
  <c r="AF26" i="12"/>
  <c r="AE26" i="12"/>
  <c r="AB26" i="12"/>
  <c r="AA26" i="12"/>
  <c r="Z26" i="12"/>
  <c r="Y26" i="12"/>
  <c r="X26" i="12"/>
  <c r="W26" i="12"/>
  <c r="V26" i="12"/>
  <c r="U26" i="12"/>
  <c r="T26" i="12"/>
  <c r="S26" i="12"/>
  <c r="R26" i="12"/>
  <c r="Q26" i="12"/>
  <c r="P26" i="12"/>
  <c r="O26" i="12"/>
  <c r="N26" i="12"/>
  <c r="M26" i="12"/>
  <c r="L26" i="12"/>
  <c r="K26" i="12"/>
  <c r="J26" i="12"/>
  <c r="I26" i="12"/>
  <c r="H26" i="12"/>
  <c r="G26" i="12"/>
  <c r="F26" i="12"/>
  <c r="E26" i="12"/>
  <c r="D26" i="12"/>
  <c r="C26" i="12"/>
  <c r="B26" i="12"/>
  <c r="AD24" i="12"/>
  <c r="AD23" i="12"/>
  <c r="AD22" i="12"/>
  <c r="AD21" i="12"/>
  <c r="AD20" i="12"/>
  <c r="AD19" i="12"/>
  <c r="AD18" i="12"/>
  <c r="AD17" i="12"/>
  <c r="AD16" i="12"/>
  <c r="AD15" i="12"/>
  <c r="AD14" i="12"/>
  <c r="AD13" i="12"/>
  <c r="AD12" i="12"/>
  <c r="AD11" i="12"/>
  <c r="AD10" i="12"/>
  <c r="AD9" i="12"/>
  <c r="AD8" i="12"/>
  <c r="AD7" i="12"/>
  <c r="AD6" i="12"/>
  <c r="AD5" i="12"/>
  <c r="AD4" i="12"/>
  <c r="AD3" i="12"/>
  <c r="AD26" i="12" s="1"/>
  <c r="O57" i="11"/>
  <c r="N57" i="11"/>
  <c r="M57" i="11"/>
  <c r="L57" i="11"/>
  <c r="K57" i="11"/>
  <c r="J57" i="11"/>
  <c r="I57" i="11"/>
  <c r="H57" i="11"/>
  <c r="G57" i="11"/>
  <c r="F57" i="11"/>
  <c r="E57" i="11"/>
  <c r="D57" i="11"/>
  <c r="C57" i="11"/>
  <c r="B57" i="11"/>
  <c r="O55" i="11"/>
  <c r="O54" i="11"/>
  <c r="O53" i="11"/>
  <c r="O52" i="11"/>
  <c r="O51" i="11"/>
  <c r="O50" i="11"/>
  <c r="O49" i="11"/>
  <c r="O48" i="11"/>
  <c r="O47" i="11"/>
  <c r="O46" i="11"/>
  <c r="O45" i="11"/>
  <c r="O44" i="11"/>
  <c r="O43" i="11"/>
  <c r="O42" i="11"/>
  <c r="O41" i="11"/>
  <c r="O40" i="11"/>
  <c r="O39" i="11"/>
  <c r="O38" i="11"/>
  <c r="O37" i="11"/>
  <c r="O36" i="11"/>
  <c r="O35" i="11"/>
  <c r="O34" i="11"/>
  <c r="N55" i="11"/>
  <c r="N54" i="11"/>
  <c r="N53" i="11"/>
  <c r="N52" i="11"/>
  <c r="N51" i="11"/>
  <c r="N50" i="11"/>
  <c r="N49" i="11"/>
  <c r="N48" i="11"/>
  <c r="N47" i="11"/>
  <c r="N46" i="11"/>
  <c r="N45" i="11"/>
  <c r="N44" i="11"/>
  <c r="N43" i="11"/>
  <c r="N42" i="11"/>
  <c r="N41" i="11"/>
  <c r="N40" i="11"/>
  <c r="N39" i="11"/>
  <c r="N38" i="11"/>
  <c r="N37" i="11"/>
  <c r="N36" i="11"/>
  <c r="N35" i="11"/>
  <c r="N34" i="11"/>
  <c r="M58" i="11"/>
  <c r="L58" i="11"/>
  <c r="K58" i="11"/>
  <c r="J58" i="11"/>
  <c r="I58" i="11"/>
  <c r="H58" i="11"/>
  <c r="G58" i="11"/>
  <c r="F58" i="11"/>
  <c r="E58" i="11"/>
  <c r="D58" i="11"/>
  <c r="C58" i="11"/>
  <c r="B58" i="11"/>
  <c r="I55" i="11"/>
  <c r="H55" i="11"/>
  <c r="I54" i="11"/>
  <c r="H54" i="11"/>
  <c r="I53" i="11"/>
  <c r="H53" i="11"/>
  <c r="I52" i="11"/>
  <c r="H52" i="11"/>
  <c r="I51" i="11"/>
  <c r="H51" i="11"/>
  <c r="I50" i="11"/>
  <c r="H50" i="11"/>
  <c r="I49" i="11"/>
  <c r="H49" i="11"/>
  <c r="I48" i="11"/>
  <c r="H48" i="11"/>
  <c r="I47" i="11"/>
  <c r="H47" i="11"/>
  <c r="I46" i="11"/>
  <c r="H46" i="11"/>
  <c r="I45" i="11"/>
  <c r="H45" i="11"/>
  <c r="I44" i="11"/>
  <c r="H44" i="11"/>
  <c r="I43" i="11"/>
  <c r="H43" i="11"/>
  <c r="I42" i="11"/>
  <c r="H42" i="11"/>
  <c r="I41" i="11"/>
  <c r="H41" i="11"/>
  <c r="I40" i="11"/>
  <c r="H40" i="11"/>
  <c r="I39" i="11"/>
  <c r="H39" i="11"/>
  <c r="I38" i="11"/>
  <c r="H38" i="11"/>
  <c r="I37" i="11"/>
  <c r="H37" i="11"/>
  <c r="I36" i="11"/>
  <c r="H36" i="11"/>
  <c r="I35" i="11"/>
  <c r="H35" i="11"/>
  <c r="I34" i="11"/>
  <c r="H34" i="11"/>
  <c r="G55" i="11"/>
  <c r="G54" i="11"/>
  <c r="G53" i="11"/>
  <c r="G52" i="11"/>
  <c r="G51" i="11"/>
  <c r="G50" i="11"/>
  <c r="G49" i="11"/>
  <c r="G48" i="11"/>
  <c r="G47" i="11"/>
  <c r="G46" i="11"/>
  <c r="G45" i="11"/>
  <c r="G44" i="11"/>
  <c r="G43" i="11"/>
  <c r="G42" i="11"/>
  <c r="G41" i="11"/>
  <c r="G40" i="11"/>
  <c r="G39" i="11"/>
  <c r="G38" i="11"/>
  <c r="G37" i="11"/>
  <c r="G36" i="11"/>
  <c r="G35" i="11"/>
  <c r="G34" i="11"/>
  <c r="F55" i="11"/>
  <c r="F54" i="11"/>
  <c r="F53" i="11"/>
  <c r="F52" i="11"/>
  <c r="F51" i="11"/>
  <c r="F50" i="11"/>
  <c r="F49" i="11"/>
  <c r="F48" i="11"/>
  <c r="F47" i="11"/>
  <c r="F46" i="11"/>
  <c r="F45" i="11"/>
  <c r="F44" i="11"/>
  <c r="F43" i="11"/>
  <c r="F42" i="11"/>
  <c r="F41" i="11"/>
  <c r="F40" i="11"/>
  <c r="F39" i="11"/>
  <c r="F38" i="11"/>
  <c r="F37" i="11"/>
  <c r="F36" i="11"/>
  <c r="F35" i="11"/>
  <c r="F34" i="11"/>
  <c r="E55" i="11"/>
  <c r="E54" i="11"/>
  <c r="E53" i="11"/>
  <c r="E52" i="11"/>
  <c r="E51" i="11"/>
  <c r="E50" i="11"/>
  <c r="E49" i="11"/>
  <c r="E48" i="11"/>
  <c r="E47" i="11"/>
  <c r="E46" i="11"/>
  <c r="E45" i="11"/>
  <c r="E44" i="11"/>
  <c r="E43" i="11"/>
  <c r="E42" i="11"/>
  <c r="E41" i="11"/>
  <c r="E40" i="11"/>
  <c r="E39" i="11"/>
  <c r="E38" i="11"/>
  <c r="E37" i="11"/>
  <c r="E36" i="11"/>
  <c r="E35" i="11"/>
  <c r="E34" i="11"/>
  <c r="D55" i="11"/>
  <c r="D54" i="11"/>
  <c r="D53" i="11"/>
  <c r="D52" i="11"/>
  <c r="D51" i="11"/>
  <c r="D50" i="11"/>
  <c r="D49" i="11"/>
  <c r="D48" i="11"/>
  <c r="D47" i="11"/>
  <c r="D46" i="11"/>
  <c r="D45" i="11"/>
  <c r="D44" i="11"/>
  <c r="D43" i="11"/>
  <c r="D42" i="11"/>
  <c r="D41" i="11"/>
  <c r="D40" i="11"/>
  <c r="D39" i="11"/>
  <c r="D38" i="11"/>
  <c r="D37" i="11"/>
  <c r="D36" i="11"/>
  <c r="D35" i="11"/>
  <c r="D34" i="11"/>
  <c r="C55" i="11"/>
  <c r="C54" i="11"/>
  <c r="C53" i="11"/>
  <c r="C52" i="11"/>
  <c r="C51" i="11"/>
  <c r="C50" i="11"/>
  <c r="C49" i="11"/>
  <c r="C48" i="11"/>
  <c r="C47" i="11"/>
  <c r="C46" i="11"/>
  <c r="C45" i="11"/>
  <c r="C44" i="11"/>
  <c r="C43" i="11"/>
  <c r="C42" i="11"/>
  <c r="C41" i="11"/>
  <c r="C40" i="11"/>
  <c r="C39" i="11"/>
  <c r="C38" i="11"/>
  <c r="C37" i="11"/>
  <c r="C36" i="11"/>
  <c r="C35" i="11"/>
  <c r="C34" i="11"/>
  <c r="X24" i="11"/>
  <c r="W24" i="11"/>
  <c r="M55" i="11" s="1"/>
  <c r="X23" i="11"/>
  <c r="W23" i="11"/>
  <c r="M54" i="11" s="1"/>
  <c r="X22" i="11"/>
  <c r="W22" i="11"/>
  <c r="M53" i="11" s="1"/>
  <c r="X21" i="11"/>
  <c r="W21" i="11"/>
  <c r="M52" i="11" s="1"/>
  <c r="X20" i="11"/>
  <c r="W20" i="11"/>
  <c r="X19" i="11"/>
  <c r="W19" i="11"/>
  <c r="M50" i="11" s="1"/>
  <c r="X18" i="11"/>
  <c r="W18" i="11"/>
  <c r="Y18" i="11" s="1"/>
  <c r="X17" i="11"/>
  <c r="W17" i="11"/>
  <c r="X16" i="11"/>
  <c r="W16" i="11"/>
  <c r="Y16" i="11" s="1"/>
  <c r="X15" i="11"/>
  <c r="W15" i="11"/>
  <c r="M46" i="11" s="1"/>
  <c r="X14" i="11"/>
  <c r="W14" i="11"/>
  <c r="X13" i="11"/>
  <c r="W13" i="11"/>
  <c r="M44" i="11" s="1"/>
  <c r="X12" i="11"/>
  <c r="W12" i="11"/>
  <c r="M43" i="11" s="1"/>
  <c r="X11" i="11"/>
  <c r="X27" i="11" s="1"/>
  <c r="W11" i="11"/>
  <c r="Y11" i="11" s="1"/>
  <c r="X10" i="11"/>
  <c r="W10" i="11"/>
  <c r="X9" i="11"/>
  <c r="W9" i="11"/>
  <c r="X8" i="11"/>
  <c r="W8" i="11"/>
  <c r="Y8" i="11" s="1"/>
  <c r="X7" i="11"/>
  <c r="W7" i="11"/>
  <c r="X6" i="11"/>
  <c r="W6" i="11"/>
  <c r="M37" i="11" s="1"/>
  <c r="X5" i="11"/>
  <c r="W5" i="11"/>
  <c r="Y5" i="11" s="1"/>
  <c r="X4" i="11"/>
  <c r="W4" i="11"/>
  <c r="X3" i="11"/>
  <c r="W3" i="11"/>
  <c r="U24" i="11"/>
  <c r="T24" i="11"/>
  <c r="U23" i="11"/>
  <c r="T23" i="11"/>
  <c r="U22" i="11"/>
  <c r="V22" i="11" s="1"/>
  <c r="T22" i="11"/>
  <c r="U21" i="11"/>
  <c r="T21" i="11"/>
  <c r="L52" i="11" s="1"/>
  <c r="U20" i="11"/>
  <c r="T20" i="11"/>
  <c r="U19" i="11"/>
  <c r="T19" i="11"/>
  <c r="L50" i="11" s="1"/>
  <c r="U18" i="11"/>
  <c r="T18" i="11"/>
  <c r="U17" i="11"/>
  <c r="L48" i="11" s="1"/>
  <c r="T17" i="11"/>
  <c r="U16" i="11"/>
  <c r="T16" i="11"/>
  <c r="V16" i="11" s="1"/>
  <c r="U15" i="11"/>
  <c r="T15" i="11"/>
  <c r="L46" i="11" s="1"/>
  <c r="U14" i="11"/>
  <c r="T14" i="11"/>
  <c r="U13" i="11"/>
  <c r="T13" i="11"/>
  <c r="U12" i="11"/>
  <c r="L43" i="11" s="1"/>
  <c r="T12" i="11"/>
  <c r="U11" i="11"/>
  <c r="T11" i="11"/>
  <c r="V11" i="11" s="1"/>
  <c r="U10" i="11"/>
  <c r="T10" i="11"/>
  <c r="U9" i="11"/>
  <c r="T9" i="11"/>
  <c r="U8" i="11"/>
  <c r="T8" i="11"/>
  <c r="U7" i="11"/>
  <c r="L38" i="11" s="1"/>
  <c r="T7" i="11"/>
  <c r="U6" i="11"/>
  <c r="T6" i="11"/>
  <c r="V6" i="11" s="1"/>
  <c r="U5" i="11"/>
  <c r="U27" i="11" s="1"/>
  <c r="T5" i="11"/>
  <c r="L36" i="11" s="1"/>
  <c r="U4" i="11"/>
  <c r="T4" i="11"/>
  <c r="U3" i="11"/>
  <c r="T3" i="11"/>
  <c r="R24" i="11"/>
  <c r="Q24" i="11"/>
  <c r="R23" i="11"/>
  <c r="Q23" i="11"/>
  <c r="K54" i="11" s="1"/>
  <c r="R22" i="11"/>
  <c r="S22" i="11" s="1"/>
  <c r="Q22" i="11"/>
  <c r="K53" i="11" s="1"/>
  <c r="R21" i="11"/>
  <c r="Q21" i="11"/>
  <c r="K52" i="11" s="1"/>
  <c r="R20" i="11"/>
  <c r="Q20" i="11"/>
  <c r="R19" i="11"/>
  <c r="Q19" i="11"/>
  <c r="K50" i="11" s="1"/>
  <c r="R18" i="11"/>
  <c r="Q18" i="11"/>
  <c r="K49" i="11" s="1"/>
  <c r="R17" i="11"/>
  <c r="Q17" i="11"/>
  <c r="R16" i="11"/>
  <c r="K47" i="11" s="1"/>
  <c r="Q16" i="11"/>
  <c r="R15" i="11"/>
  <c r="Q15" i="11"/>
  <c r="S15" i="11" s="1"/>
  <c r="R14" i="11"/>
  <c r="Q14" i="11"/>
  <c r="S14" i="11" s="1"/>
  <c r="R13" i="11"/>
  <c r="Q13" i="11"/>
  <c r="K44" i="11" s="1"/>
  <c r="R12" i="11"/>
  <c r="Q12" i="11"/>
  <c r="K43" i="11" s="1"/>
  <c r="R11" i="11"/>
  <c r="R26" i="11" s="1"/>
  <c r="Q11" i="11"/>
  <c r="K42" i="11" s="1"/>
  <c r="R10" i="11"/>
  <c r="Q10" i="11"/>
  <c r="R9" i="11"/>
  <c r="Q9" i="11"/>
  <c r="K40" i="11" s="1"/>
  <c r="R8" i="11"/>
  <c r="Q8" i="11"/>
  <c r="R7" i="11"/>
  <c r="Q7" i="11"/>
  <c r="S7" i="11" s="1"/>
  <c r="R6" i="11"/>
  <c r="Q6" i="11"/>
  <c r="S6" i="11" s="1"/>
  <c r="R5" i="11"/>
  <c r="Q5" i="11"/>
  <c r="S5" i="11" s="1"/>
  <c r="R4" i="11"/>
  <c r="Q4" i="11"/>
  <c r="R3" i="11"/>
  <c r="Q3" i="11"/>
  <c r="K34" i="11" s="1"/>
  <c r="O24" i="11"/>
  <c r="N24" i="11"/>
  <c r="O23" i="11"/>
  <c r="N23" i="11"/>
  <c r="O22" i="11"/>
  <c r="N22" i="11"/>
  <c r="O21" i="11"/>
  <c r="N21" i="11"/>
  <c r="P21" i="11" s="1"/>
  <c r="O20" i="11"/>
  <c r="N20" i="11"/>
  <c r="O19" i="11"/>
  <c r="N19" i="11"/>
  <c r="P19" i="11" s="1"/>
  <c r="O18" i="11"/>
  <c r="N18" i="11"/>
  <c r="O17" i="11"/>
  <c r="J48" i="11" s="1"/>
  <c r="N17" i="11"/>
  <c r="O16" i="11"/>
  <c r="N16" i="11"/>
  <c r="O15" i="11"/>
  <c r="N15" i="11"/>
  <c r="P15" i="11" s="1"/>
  <c r="O14" i="11"/>
  <c r="N14" i="11"/>
  <c r="O13" i="11"/>
  <c r="N13" i="11"/>
  <c r="O12" i="11"/>
  <c r="N12" i="11"/>
  <c r="O11" i="11"/>
  <c r="N11" i="11"/>
  <c r="J42" i="11" s="1"/>
  <c r="O10" i="11"/>
  <c r="N10" i="11"/>
  <c r="O9" i="11"/>
  <c r="N9" i="11"/>
  <c r="J40" i="11" s="1"/>
  <c r="O8" i="11"/>
  <c r="N8" i="11"/>
  <c r="O7" i="11"/>
  <c r="N7" i="11"/>
  <c r="O6" i="11"/>
  <c r="N6" i="11"/>
  <c r="J37" i="11" s="1"/>
  <c r="O5" i="11"/>
  <c r="O27" i="11" s="1"/>
  <c r="N5" i="11"/>
  <c r="N27" i="11" s="1"/>
  <c r="O4" i="11"/>
  <c r="N4" i="11"/>
  <c r="O3" i="11"/>
  <c r="N3" i="11"/>
  <c r="M24" i="11"/>
  <c r="L24" i="11"/>
  <c r="K24" i="11"/>
  <c r="J24" i="11"/>
  <c r="I24" i="11"/>
  <c r="M23" i="11"/>
  <c r="L23" i="11"/>
  <c r="K23" i="11"/>
  <c r="J23" i="11"/>
  <c r="I23" i="11"/>
  <c r="M22" i="11"/>
  <c r="L22" i="11"/>
  <c r="K22" i="11"/>
  <c r="J22" i="11"/>
  <c r="I22" i="11"/>
  <c r="M21" i="11"/>
  <c r="L21" i="11"/>
  <c r="K21" i="11"/>
  <c r="J21" i="11"/>
  <c r="I21" i="11"/>
  <c r="M20" i="11"/>
  <c r="L20" i="11"/>
  <c r="K20" i="11"/>
  <c r="J20" i="11"/>
  <c r="I20" i="11"/>
  <c r="M19" i="11"/>
  <c r="L19" i="11"/>
  <c r="K19" i="11"/>
  <c r="J19" i="11"/>
  <c r="I19" i="11"/>
  <c r="M18" i="11"/>
  <c r="L18" i="11"/>
  <c r="K18" i="11"/>
  <c r="J18" i="11"/>
  <c r="I18" i="11"/>
  <c r="M17" i="11"/>
  <c r="L17" i="11"/>
  <c r="K17" i="11"/>
  <c r="J17" i="11"/>
  <c r="I17" i="11"/>
  <c r="M16" i="11"/>
  <c r="L16" i="11"/>
  <c r="K16" i="11"/>
  <c r="J16" i="11"/>
  <c r="I16" i="11"/>
  <c r="M15" i="11"/>
  <c r="L15" i="11"/>
  <c r="K15" i="11"/>
  <c r="J15" i="11"/>
  <c r="I15" i="11"/>
  <c r="M14" i="11"/>
  <c r="L14" i="11"/>
  <c r="K14" i="11"/>
  <c r="J14" i="11"/>
  <c r="I14" i="11"/>
  <c r="M13" i="11"/>
  <c r="L13" i="11"/>
  <c r="K13" i="11"/>
  <c r="J13" i="11"/>
  <c r="I13" i="11"/>
  <c r="M12" i="11"/>
  <c r="L12" i="11"/>
  <c r="K12" i="11"/>
  <c r="J12" i="11"/>
  <c r="I12" i="11"/>
  <c r="M11" i="11"/>
  <c r="L11" i="11"/>
  <c r="K11" i="11"/>
  <c r="J11" i="11"/>
  <c r="I11" i="11"/>
  <c r="M10" i="11"/>
  <c r="L10" i="11"/>
  <c r="K10" i="11"/>
  <c r="J10" i="11"/>
  <c r="I10" i="11"/>
  <c r="M9" i="11"/>
  <c r="L9" i="11"/>
  <c r="K9" i="11"/>
  <c r="J9" i="11"/>
  <c r="I9" i="11"/>
  <c r="M8" i="11"/>
  <c r="L8" i="11"/>
  <c r="K8" i="11"/>
  <c r="J8" i="11"/>
  <c r="I8" i="11"/>
  <c r="M7" i="11"/>
  <c r="L7" i="11"/>
  <c r="K7" i="11"/>
  <c r="J7" i="11"/>
  <c r="I7" i="11"/>
  <c r="M6" i="11"/>
  <c r="L6" i="11"/>
  <c r="K6" i="11"/>
  <c r="J6" i="11"/>
  <c r="I6" i="11"/>
  <c r="M5" i="11"/>
  <c r="M26" i="11" s="1"/>
  <c r="L5" i="11"/>
  <c r="L26" i="11" s="1"/>
  <c r="K5" i="11"/>
  <c r="K26" i="11" s="1"/>
  <c r="J5" i="11"/>
  <c r="J26" i="11" s="1"/>
  <c r="I5" i="11"/>
  <c r="I26" i="11" s="1"/>
  <c r="M4" i="11"/>
  <c r="L4" i="11"/>
  <c r="K4" i="11"/>
  <c r="J4" i="11"/>
  <c r="I4" i="11"/>
  <c r="M3" i="11"/>
  <c r="M27" i="11" s="1"/>
  <c r="L3" i="11"/>
  <c r="L27" i="11" s="1"/>
  <c r="K3" i="11"/>
  <c r="K27" i="11" s="1"/>
  <c r="J3" i="11"/>
  <c r="J27" i="11" s="1"/>
  <c r="I3" i="11"/>
  <c r="I27" i="11" s="1"/>
  <c r="G24" i="11"/>
  <c r="F24" i="11"/>
  <c r="G23" i="11"/>
  <c r="F23" i="11"/>
  <c r="G22" i="11"/>
  <c r="F22" i="11"/>
  <c r="H22" i="11" s="1"/>
  <c r="G21" i="11"/>
  <c r="F21" i="11"/>
  <c r="G20" i="11"/>
  <c r="F20" i="11"/>
  <c r="G19" i="11"/>
  <c r="F19" i="11"/>
  <c r="G18" i="11"/>
  <c r="F18" i="11"/>
  <c r="G17" i="11"/>
  <c r="F17" i="11"/>
  <c r="H17" i="11" s="1"/>
  <c r="G16" i="11"/>
  <c r="F16" i="11"/>
  <c r="H16" i="11" s="1"/>
  <c r="G15" i="11"/>
  <c r="F15" i="11"/>
  <c r="H15" i="11" s="1"/>
  <c r="G14" i="11"/>
  <c r="F14" i="11"/>
  <c r="G13" i="11"/>
  <c r="F13" i="11"/>
  <c r="G12" i="11"/>
  <c r="F12" i="11"/>
  <c r="H12" i="11" s="1"/>
  <c r="G11" i="11"/>
  <c r="F11" i="11"/>
  <c r="G10" i="11"/>
  <c r="F10" i="11"/>
  <c r="G9" i="11"/>
  <c r="F9" i="11"/>
  <c r="G8" i="11"/>
  <c r="F8" i="11"/>
  <c r="G7" i="11"/>
  <c r="F7" i="11"/>
  <c r="H7" i="11" s="1"/>
  <c r="G6" i="11"/>
  <c r="B37" i="11" s="1"/>
  <c r="F6" i="11"/>
  <c r="H6" i="11" s="1"/>
  <c r="G5" i="11"/>
  <c r="G26" i="11" s="1"/>
  <c r="F5" i="11"/>
  <c r="H5" i="11" s="1"/>
  <c r="G4" i="11"/>
  <c r="F4" i="11"/>
  <c r="G3" i="11"/>
  <c r="F3" i="11"/>
  <c r="D24" i="11"/>
  <c r="B55" i="11" s="1"/>
  <c r="C24" i="11"/>
  <c r="B24" i="11"/>
  <c r="A24" i="11"/>
  <c r="D23" i="11"/>
  <c r="C23" i="11"/>
  <c r="B23" i="11"/>
  <c r="A23" i="11"/>
  <c r="D22" i="11"/>
  <c r="C22" i="11"/>
  <c r="B22" i="11"/>
  <c r="A22" i="11"/>
  <c r="E22" i="11" s="1"/>
  <c r="D21" i="11"/>
  <c r="C21" i="11"/>
  <c r="B21" i="11"/>
  <c r="A21" i="11"/>
  <c r="B52" i="11" s="1"/>
  <c r="D20" i="11"/>
  <c r="C20" i="11"/>
  <c r="B20" i="11"/>
  <c r="A20" i="11"/>
  <c r="B51" i="11" s="1"/>
  <c r="D19" i="11"/>
  <c r="C19" i="11"/>
  <c r="B19" i="11"/>
  <c r="A19" i="11"/>
  <c r="E19" i="11" s="1"/>
  <c r="D18" i="11"/>
  <c r="C18" i="11"/>
  <c r="B18" i="11"/>
  <c r="A18" i="11"/>
  <c r="D17" i="11"/>
  <c r="C17" i="11"/>
  <c r="B17" i="11"/>
  <c r="A17" i="11"/>
  <c r="B48" i="11" s="1"/>
  <c r="D16" i="11"/>
  <c r="C16" i="11"/>
  <c r="B16" i="11"/>
  <c r="A16" i="11"/>
  <c r="E16" i="11" s="1"/>
  <c r="D15" i="11"/>
  <c r="C15" i="11"/>
  <c r="B15" i="11"/>
  <c r="A15" i="11"/>
  <c r="D14" i="11"/>
  <c r="C14" i="11"/>
  <c r="E14" i="11" s="1"/>
  <c r="B14" i="11"/>
  <c r="A14" i="11"/>
  <c r="D13" i="11"/>
  <c r="C13" i="11"/>
  <c r="B13" i="11"/>
  <c r="A13" i="11"/>
  <c r="B44" i="11" s="1"/>
  <c r="D12" i="11"/>
  <c r="C12" i="11"/>
  <c r="B12" i="11"/>
  <c r="A12" i="11"/>
  <c r="E12" i="11" s="1"/>
  <c r="D11" i="11"/>
  <c r="C11" i="11"/>
  <c r="B11" i="11"/>
  <c r="A11" i="11"/>
  <c r="E11" i="11" s="1"/>
  <c r="D10" i="11"/>
  <c r="C10" i="11"/>
  <c r="B10" i="11"/>
  <c r="A10" i="11"/>
  <c r="E10" i="11" s="1"/>
  <c r="D9" i="11"/>
  <c r="B40" i="11" s="1"/>
  <c r="C9" i="11"/>
  <c r="B9" i="11"/>
  <c r="A9" i="11"/>
  <c r="E9" i="11" s="1"/>
  <c r="D8" i="11"/>
  <c r="C8" i="11"/>
  <c r="B8" i="11"/>
  <c r="A8" i="11"/>
  <c r="D7" i="11"/>
  <c r="C7" i="11"/>
  <c r="B7" i="11"/>
  <c r="A7" i="11"/>
  <c r="D6" i="11"/>
  <c r="C6" i="11"/>
  <c r="B6" i="11"/>
  <c r="A6" i="11"/>
  <c r="E6" i="11" s="1"/>
  <c r="D5" i="11"/>
  <c r="C5" i="11"/>
  <c r="B5" i="11"/>
  <c r="B26" i="11" s="1"/>
  <c r="A5" i="11"/>
  <c r="D4" i="11"/>
  <c r="B35" i="11" s="1"/>
  <c r="C4" i="11"/>
  <c r="C26" i="11" s="1"/>
  <c r="B4" i="11"/>
  <c r="A4" i="11"/>
  <c r="D3" i="11"/>
  <c r="C3" i="11"/>
  <c r="B3" i="11"/>
  <c r="A3" i="11"/>
  <c r="L55" i="11"/>
  <c r="K55" i="11"/>
  <c r="J55" i="11"/>
  <c r="L54" i="11"/>
  <c r="J54" i="11"/>
  <c r="B54" i="11"/>
  <c r="L53" i="11"/>
  <c r="J53" i="11"/>
  <c r="B53" i="11"/>
  <c r="J52" i="11"/>
  <c r="M51" i="11"/>
  <c r="L51" i="11"/>
  <c r="K51" i="11"/>
  <c r="J51" i="11"/>
  <c r="B50" i="11"/>
  <c r="L49" i="11"/>
  <c r="J49" i="11"/>
  <c r="B49" i="11"/>
  <c r="M48" i="11"/>
  <c r="K48" i="11"/>
  <c r="L47" i="11"/>
  <c r="J47" i="11"/>
  <c r="K46" i="11"/>
  <c r="M45" i="11"/>
  <c r="L45" i="11"/>
  <c r="K45" i="11"/>
  <c r="J45" i="11"/>
  <c r="B45" i="11"/>
  <c r="L44" i="11"/>
  <c r="J44" i="11"/>
  <c r="J43" i="11"/>
  <c r="M41" i="11"/>
  <c r="L41" i="11"/>
  <c r="K41" i="11"/>
  <c r="J41" i="11"/>
  <c r="B41" i="11"/>
  <c r="M40" i="11"/>
  <c r="L40" i="11"/>
  <c r="M39" i="11"/>
  <c r="L39" i="11"/>
  <c r="K39" i="11"/>
  <c r="J39" i="11"/>
  <c r="B39" i="11"/>
  <c r="M38" i="11"/>
  <c r="K38" i="11"/>
  <c r="J38" i="11"/>
  <c r="B38" i="11"/>
  <c r="L37" i="11"/>
  <c r="K37" i="11"/>
  <c r="K36" i="11"/>
  <c r="M35" i="11"/>
  <c r="L35" i="11"/>
  <c r="K35" i="11"/>
  <c r="J35" i="11"/>
  <c r="M34" i="11"/>
  <c r="L34" i="11"/>
  <c r="J34" i="11"/>
  <c r="Y24" i="11"/>
  <c r="V24" i="11"/>
  <c r="S24" i="11"/>
  <c r="P24" i="11"/>
  <c r="H24" i="11"/>
  <c r="E24" i="11"/>
  <c r="V23" i="11"/>
  <c r="P23" i="11"/>
  <c r="H23" i="11"/>
  <c r="E23" i="11"/>
  <c r="P22" i="11"/>
  <c r="H21" i="11"/>
  <c r="Y20" i="11"/>
  <c r="V20" i="11"/>
  <c r="S20" i="11"/>
  <c r="P20" i="11"/>
  <c r="H20" i="11"/>
  <c r="Y19" i="11"/>
  <c r="V19" i="11"/>
  <c r="H19" i="11"/>
  <c r="V18" i="11"/>
  <c r="S18" i="11"/>
  <c r="P18" i="11"/>
  <c r="H18" i="11"/>
  <c r="E18" i="11"/>
  <c r="Y17" i="11"/>
  <c r="V17" i="11"/>
  <c r="S17" i="11"/>
  <c r="P17" i="11"/>
  <c r="E17" i="11"/>
  <c r="S16" i="11"/>
  <c r="P16" i="11"/>
  <c r="Y14" i="11"/>
  <c r="V14" i="11"/>
  <c r="P14" i="11"/>
  <c r="H14" i="11"/>
  <c r="V13" i="11"/>
  <c r="S13" i="11"/>
  <c r="P13" i="11"/>
  <c r="H13" i="11"/>
  <c r="E13" i="11"/>
  <c r="V12" i="11"/>
  <c r="S12" i="11"/>
  <c r="P12" i="11"/>
  <c r="H11" i="11"/>
  <c r="Y10" i="11"/>
  <c r="V10" i="11"/>
  <c r="S10" i="11"/>
  <c r="P10" i="11"/>
  <c r="H10" i="11"/>
  <c r="Y9" i="11"/>
  <c r="V9" i="11"/>
  <c r="S9" i="11"/>
  <c r="H9" i="11"/>
  <c r="V8" i="11"/>
  <c r="S8" i="11"/>
  <c r="P8" i="11"/>
  <c r="H8" i="11"/>
  <c r="E8" i="11"/>
  <c r="Y7" i="11"/>
  <c r="V7" i="11"/>
  <c r="P7" i="11"/>
  <c r="E7" i="11"/>
  <c r="Y6" i="11"/>
  <c r="Y4" i="11"/>
  <c r="V4" i="11"/>
  <c r="S4" i="11"/>
  <c r="P4" i="11"/>
  <c r="H4" i="11"/>
  <c r="Y3" i="11"/>
  <c r="V3" i="11"/>
  <c r="S3" i="11"/>
  <c r="P3" i="11"/>
  <c r="H3" i="11"/>
  <c r="O58" i="11" l="1"/>
  <c r="Y27" i="11"/>
  <c r="Y26" i="11"/>
  <c r="Y21" i="11"/>
  <c r="M42" i="11"/>
  <c r="Y23" i="11"/>
  <c r="M49" i="11"/>
  <c r="Y22" i="11"/>
  <c r="Y12" i="11"/>
  <c r="M47" i="11"/>
  <c r="M36" i="11"/>
  <c r="Y13" i="11"/>
  <c r="X26" i="11"/>
  <c r="W27" i="11"/>
  <c r="W26" i="11"/>
  <c r="Y15" i="11"/>
  <c r="V5" i="11"/>
  <c r="V15" i="11"/>
  <c r="L42" i="11"/>
  <c r="T26" i="11"/>
  <c r="U26" i="11"/>
  <c r="V21" i="11"/>
  <c r="T27" i="11"/>
  <c r="R27" i="11"/>
  <c r="S23" i="11"/>
  <c r="S19" i="11"/>
  <c r="Q27" i="11"/>
  <c r="Q26" i="11"/>
  <c r="S11" i="11"/>
  <c r="S26" i="11" s="1"/>
  <c r="S21" i="11"/>
  <c r="N26" i="11"/>
  <c r="P5" i="11"/>
  <c r="P26" i="11" s="1"/>
  <c r="P9" i="11"/>
  <c r="O26" i="11"/>
  <c r="J50" i="11"/>
  <c r="J36" i="11"/>
  <c r="P6" i="11"/>
  <c r="J46" i="11"/>
  <c r="P11" i="11"/>
  <c r="H26" i="11"/>
  <c r="G27" i="11"/>
  <c r="F27" i="11"/>
  <c r="F26" i="11"/>
  <c r="H27" i="11"/>
  <c r="B46" i="11"/>
  <c r="B36" i="11"/>
  <c r="E27" i="11"/>
  <c r="E20" i="11"/>
  <c r="B42" i="11"/>
  <c r="E4" i="11"/>
  <c r="E21" i="11"/>
  <c r="B27" i="11"/>
  <c r="C27" i="11"/>
  <c r="B43" i="11"/>
  <c r="B47" i="11"/>
  <c r="A27" i="11"/>
  <c r="E5" i="11"/>
  <c r="E15" i="11"/>
  <c r="E3" i="11"/>
  <c r="E26" i="11" s="1"/>
  <c r="B34" i="11"/>
  <c r="A26" i="11"/>
  <c r="B55" i="10"/>
  <c r="B54" i="10"/>
  <c r="B53" i="10"/>
  <c r="B52" i="10"/>
  <c r="B51" i="10"/>
  <c r="B50" i="10"/>
  <c r="B49" i="10"/>
  <c r="B48" i="10"/>
  <c r="B47" i="10"/>
  <c r="B46" i="10"/>
  <c r="B45" i="10"/>
  <c r="B44" i="10"/>
  <c r="B43" i="10"/>
  <c r="B42" i="10"/>
  <c r="B41" i="10"/>
  <c r="B40" i="10"/>
  <c r="B39" i="10"/>
  <c r="B38" i="10"/>
  <c r="B37" i="10"/>
  <c r="B36" i="10"/>
  <c r="B35" i="10"/>
  <c r="B34" i="10"/>
  <c r="C58" i="10"/>
  <c r="C57" i="10"/>
  <c r="V27" i="11" l="1"/>
  <c r="V26" i="11"/>
  <c r="S27" i="11"/>
  <c r="P27" i="11"/>
  <c r="N49" i="10"/>
  <c r="N42" i="10"/>
  <c r="D58" i="10"/>
  <c r="D57" i="10"/>
  <c r="B58" i="10"/>
  <c r="B57" i="10"/>
  <c r="M55" i="10"/>
  <c r="M54" i="10"/>
  <c r="M53" i="10"/>
  <c r="M52" i="10"/>
  <c r="M51" i="10"/>
  <c r="M50" i="10"/>
  <c r="M49" i="10"/>
  <c r="M48" i="10"/>
  <c r="M47" i="10"/>
  <c r="M46" i="10"/>
  <c r="M45" i="10"/>
  <c r="M44" i="10"/>
  <c r="M43" i="10"/>
  <c r="M42" i="10"/>
  <c r="M41" i="10"/>
  <c r="M40" i="10"/>
  <c r="M39" i="10"/>
  <c r="M38" i="10"/>
  <c r="M37" i="10"/>
  <c r="M36" i="10"/>
  <c r="M35" i="10"/>
  <c r="M34" i="10"/>
  <c r="L55" i="10"/>
  <c r="L54" i="10"/>
  <c r="L53" i="10"/>
  <c r="L52" i="10"/>
  <c r="L51" i="10"/>
  <c r="L50" i="10"/>
  <c r="L49" i="10"/>
  <c r="L48" i="10"/>
  <c r="L47" i="10"/>
  <c r="L46" i="10"/>
  <c r="L45" i="10"/>
  <c r="L44" i="10"/>
  <c r="L43" i="10"/>
  <c r="L42" i="10"/>
  <c r="L41" i="10"/>
  <c r="L40" i="10"/>
  <c r="L39" i="10"/>
  <c r="L38" i="10"/>
  <c r="L37" i="10"/>
  <c r="L36" i="10"/>
  <c r="L35" i="10"/>
  <c r="L34" i="10"/>
  <c r="K55" i="10"/>
  <c r="K54" i="10"/>
  <c r="K53" i="10"/>
  <c r="K52" i="10"/>
  <c r="K51" i="10"/>
  <c r="K50" i="10"/>
  <c r="K49" i="10"/>
  <c r="K48" i="10"/>
  <c r="K47" i="10"/>
  <c r="K46" i="10"/>
  <c r="K45" i="10"/>
  <c r="K44" i="10"/>
  <c r="K43" i="10"/>
  <c r="K42" i="10"/>
  <c r="K41" i="10"/>
  <c r="K40" i="10"/>
  <c r="K39" i="10"/>
  <c r="K38" i="10"/>
  <c r="K37" i="10"/>
  <c r="K36" i="10"/>
  <c r="K35" i="10"/>
  <c r="K34" i="10"/>
  <c r="J55" i="10"/>
  <c r="J54" i="10"/>
  <c r="J53" i="10"/>
  <c r="J52" i="10"/>
  <c r="J51" i="10"/>
  <c r="J50" i="10"/>
  <c r="N50" i="10" s="1"/>
  <c r="J49" i="10"/>
  <c r="J48" i="10"/>
  <c r="N48" i="10" s="1"/>
  <c r="J47" i="10"/>
  <c r="N47" i="10" s="1"/>
  <c r="J46" i="10"/>
  <c r="J45" i="10"/>
  <c r="N45" i="10" s="1"/>
  <c r="J44" i="10"/>
  <c r="J43" i="10"/>
  <c r="N43" i="10" s="1"/>
  <c r="J42" i="10"/>
  <c r="J41" i="10"/>
  <c r="N41" i="10" s="1"/>
  <c r="J40" i="10"/>
  <c r="N40" i="10" s="1"/>
  <c r="J39" i="10"/>
  <c r="N39" i="10" s="1"/>
  <c r="J38" i="10"/>
  <c r="J37" i="10"/>
  <c r="J36" i="10"/>
  <c r="J35" i="10"/>
  <c r="J34" i="10"/>
  <c r="I58" i="10"/>
  <c r="H58" i="10"/>
  <c r="G58" i="10"/>
  <c r="F58" i="10"/>
  <c r="E58" i="10"/>
  <c r="I57" i="10"/>
  <c r="H57" i="10"/>
  <c r="G57" i="10"/>
  <c r="F57" i="10"/>
  <c r="E57" i="10"/>
  <c r="Y24" i="10"/>
  <c r="Y23" i="10"/>
  <c r="Y22" i="10"/>
  <c r="Y21" i="10"/>
  <c r="Y20" i="10"/>
  <c r="Y19" i="10"/>
  <c r="Y18" i="10"/>
  <c r="Y17" i="10"/>
  <c r="Y16" i="10"/>
  <c r="Y15" i="10"/>
  <c r="Y14" i="10"/>
  <c r="Y13" i="10"/>
  <c r="Y12" i="10"/>
  <c r="Y11" i="10"/>
  <c r="Y10" i="10"/>
  <c r="Y9" i="10"/>
  <c r="Y8" i="10"/>
  <c r="Y7" i="10"/>
  <c r="Y6" i="10"/>
  <c r="Y5" i="10"/>
  <c r="Y4" i="10"/>
  <c r="Y3" i="10"/>
  <c r="V24" i="10"/>
  <c r="V23" i="10"/>
  <c r="V22" i="10"/>
  <c r="V21" i="10"/>
  <c r="V20" i="10"/>
  <c r="V19" i="10"/>
  <c r="V18" i="10"/>
  <c r="V17" i="10"/>
  <c r="V16" i="10"/>
  <c r="V15" i="10"/>
  <c r="V14" i="10"/>
  <c r="V13" i="10"/>
  <c r="V12" i="10"/>
  <c r="V11" i="10"/>
  <c r="V10" i="10"/>
  <c r="V9" i="10"/>
  <c r="V8" i="10"/>
  <c r="V7" i="10"/>
  <c r="V6" i="10"/>
  <c r="V5" i="10"/>
  <c r="V4" i="10"/>
  <c r="V3" i="10"/>
  <c r="S24" i="10"/>
  <c r="S23" i="10"/>
  <c r="S22" i="10"/>
  <c r="S21" i="10"/>
  <c r="S20" i="10"/>
  <c r="S19" i="10"/>
  <c r="S18" i="10"/>
  <c r="S17" i="10"/>
  <c r="S16" i="10"/>
  <c r="S15" i="10"/>
  <c r="S14" i="10"/>
  <c r="S13" i="10"/>
  <c r="S12" i="10"/>
  <c r="S11" i="10"/>
  <c r="S10" i="10"/>
  <c r="S9" i="10"/>
  <c r="S8" i="10"/>
  <c r="S7" i="10"/>
  <c r="S6" i="10"/>
  <c r="S5" i="10"/>
  <c r="S4" i="10"/>
  <c r="S3" i="10"/>
  <c r="P24" i="10"/>
  <c r="P23" i="10"/>
  <c r="P22" i="10"/>
  <c r="P21" i="10"/>
  <c r="P20" i="10"/>
  <c r="P19" i="10"/>
  <c r="P18" i="10"/>
  <c r="P17" i="10"/>
  <c r="P16" i="10"/>
  <c r="P15" i="10"/>
  <c r="P14" i="10"/>
  <c r="P13" i="10"/>
  <c r="P12" i="10"/>
  <c r="P11" i="10"/>
  <c r="P10" i="10"/>
  <c r="P9" i="10"/>
  <c r="P8" i="10"/>
  <c r="P7" i="10"/>
  <c r="P6" i="10"/>
  <c r="P5" i="10"/>
  <c r="P4" i="10"/>
  <c r="P3" i="10"/>
  <c r="H24" i="10"/>
  <c r="H23" i="10"/>
  <c r="H22" i="10"/>
  <c r="H21" i="10"/>
  <c r="H20" i="10"/>
  <c r="H19" i="10"/>
  <c r="H18" i="10"/>
  <c r="H17" i="10"/>
  <c r="H16" i="10"/>
  <c r="H15" i="10"/>
  <c r="H14" i="10"/>
  <c r="H13" i="10"/>
  <c r="H12" i="10"/>
  <c r="H11" i="10"/>
  <c r="H10" i="10"/>
  <c r="H9" i="10"/>
  <c r="H8" i="10"/>
  <c r="H7" i="10"/>
  <c r="H6" i="10"/>
  <c r="H5" i="10"/>
  <c r="H4" i="10"/>
  <c r="H3" i="10"/>
  <c r="E24" i="10"/>
  <c r="E23" i="10"/>
  <c r="E22" i="10"/>
  <c r="E21" i="10"/>
  <c r="E20" i="10"/>
  <c r="E19" i="10"/>
  <c r="E18" i="10"/>
  <c r="E17" i="10"/>
  <c r="E16" i="10"/>
  <c r="E15" i="10"/>
  <c r="E14" i="10"/>
  <c r="E13" i="10"/>
  <c r="E12" i="10"/>
  <c r="E11" i="10"/>
  <c r="E10" i="10"/>
  <c r="E9" i="10"/>
  <c r="E8" i="10"/>
  <c r="E7" i="10"/>
  <c r="E6" i="10"/>
  <c r="E5" i="10"/>
  <c r="E4" i="10"/>
  <c r="E3" i="10"/>
  <c r="X27" i="10"/>
  <c r="W27" i="10"/>
  <c r="U27" i="10"/>
  <c r="T27" i="10"/>
  <c r="R27" i="10"/>
  <c r="Q27" i="10"/>
  <c r="O27" i="10"/>
  <c r="N27" i="10"/>
  <c r="M27" i="10"/>
  <c r="L27" i="10"/>
  <c r="K27" i="10"/>
  <c r="J27" i="10"/>
  <c r="I27" i="10"/>
  <c r="G27" i="10"/>
  <c r="F27" i="10"/>
  <c r="C27" i="10"/>
  <c r="B27" i="10"/>
  <c r="A27" i="10"/>
  <c r="X26" i="10"/>
  <c r="W26" i="10"/>
  <c r="U26" i="10"/>
  <c r="T26" i="10"/>
  <c r="R26" i="10"/>
  <c r="Q26" i="10"/>
  <c r="O26" i="10"/>
  <c r="N26" i="10"/>
  <c r="M26" i="10"/>
  <c r="L26" i="10"/>
  <c r="K26" i="10"/>
  <c r="J26" i="10"/>
  <c r="I26" i="10"/>
  <c r="G26" i="10"/>
  <c r="F26" i="10"/>
  <c r="C26" i="10"/>
  <c r="B26" i="10"/>
  <c r="A26" i="10"/>
  <c r="AP27" i="2"/>
  <c r="AP26" i="2"/>
  <c r="AR27" i="2"/>
  <c r="AR26" i="2"/>
  <c r="Y27" i="2"/>
  <c r="Y26" i="2"/>
  <c r="AL27" i="2"/>
  <c r="AL26" i="2"/>
  <c r="AA27" i="2"/>
  <c r="AA26" i="2"/>
  <c r="AB26" i="2"/>
  <c r="AB27" i="2"/>
  <c r="AH27" i="2"/>
  <c r="AH26" i="2"/>
  <c r="AG27" i="2"/>
  <c r="AG26" i="2"/>
  <c r="AD24" i="2"/>
  <c r="AD23" i="2"/>
  <c r="AD22" i="2"/>
  <c r="AD21" i="2"/>
  <c r="AD20" i="2"/>
  <c r="AD19" i="2"/>
  <c r="AD18" i="2"/>
  <c r="AD17" i="2"/>
  <c r="AD16" i="2"/>
  <c r="AD15" i="2"/>
  <c r="AD14" i="2"/>
  <c r="AD13" i="2"/>
  <c r="AD12" i="2"/>
  <c r="AD11" i="2"/>
  <c r="AD10" i="2"/>
  <c r="AD9" i="2"/>
  <c r="AD8" i="2"/>
  <c r="AD7" i="2"/>
  <c r="AD6" i="2"/>
  <c r="AD5" i="2"/>
  <c r="AD4" i="2"/>
  <c r="AD3" i="2"/>
  <c r="R38" i="2"/>
  <c r="U27" i="2"/>
  <c r="AQ27" i="2"/>
  <c r="AO27" i="2"/>
  <c r="AN27" i="2"/>
  <c r="AM27" i="2"/>
  <c r="AK27" i="2"/>
  <c r="AJ27" i="2"/>
  <c r="AI27" i="2"/>
  <c r="AF27" i="2"/>
  <c r="AE27" i="2"/>
  <c r="Z27" i="2"/>
  <c r="X27" i="2"/>
  <c r="W27" i="2"/>
  <c r="V27" i="2"/>
  <c r="T27" i="2"/>
  <c r="S27" i="2"/>
  <c r="R27" i="2"/>
  <c r="Q27" i="2"/>
  <c r="P27" i="2"/>
  <c r="O27" i="2"/>
  <c r="N27" i="2"/>
  <c r="M27" i="2"/>
  <c r="L27" i="2"/>
  <c r="K27" i="2"/>
  <c r="J27" i="2"/>
  <c r="I27" i="2"/>
  <c r="H27" i="2"/>
  <c r="G27" i="2"/>
  <c r="F27" i="2"/>
  <c r="E27" i="2"/>
  <c r="D27" i="2"/>
  <c r="C27" i="2"/>
  <c r="AQ26" i="2"/>
  <c r="AO26" i="2"/>
  <c r="AN26" i="2"/>
  <c r="AM26" i="2"/>
  <c r="AK26" i="2"/>
  <c r="AJ26" i="2"/>
  <c r="AI26" i="2"/>
  <c r="AF26" i="2"/>
  <c r="AE26" i="2"/>
  <c r="Z26" i="2"/>
  <c r="X26" i="2"/>
  <c r="W26" i="2"/>
  <c r="V26" i="2"/>
  <c r="U26" i="2"/>
  <c r="T26" i="2"/>
  <c r="S26" i="2"/>
  <c r="R26" i="2"/>
  <c r="Q26" i="2"/>
  <c r="P26" i="2"/>
  <c r="O26" i="2"/>
  <c r="N26" i="2"/>
  <c r="M26" i="2"/>
  <c r="L26" i="2"/>
  <c r="K26" i="2"/>
  <c r="J26" i="2"/>
  <c r="I26" i="2"/>
  <c r="H26" i="2"/>
  <c r="G26" i="2"/>
  <c r="F26" i="2"/>
  <c r="E26" i="2"/>
  <c r="D26" i="2"/>
  <c r="C26" i="2"/>
  <c r="B27" i="2"/>
  <c r="B26" i="2"/>
  <c r="N58" i="11" l="1"/>
  <c r="N53" i="10"/>
  <c r="J58" i="10"/>
  <c r="N54" i="10"/>
  <c r="N35" i="10"/>
  <c r="N55" i="10"/>
  <c r="N36" i="10"/>
  <c r="K58" i="10"/>
  <c r="N37" i="10"/>
  <c r="N38" i="10"/>
  <c r="L58" i="10"/>
  <c r="V27" i="10"/>
  <c r="M58" i="10"/>
  <c r="N44" i="10"/>
  <c r="N46" i="10"/>
  <c r="N51" i="10"/>
  <c r="N52" i="10"/>
  <c r="N34" i="10"/>
  <c r="N58" i="10" s="1"/>
  <c r="Y27" i="10"/>
  <c r="J57" i="10"/>
  <c r="K57" i="10"/>
  <c r="L57" i="10"/>
  <c r="M57" i="10"/>
  <c r="Y26" i="10"/>
  <c r="V26" i="10"/>
  <c r="S27" i="10"/>
  <c r="P26" i="10"/>
  <c r="P27" i="10"/>
  <c r="S26" i="10"/>
  <c r="H27" i="10"/>
  <c r="H26" i="10"/>
  <c r="E26" i="10"/>
  <c r="E27" i="10"/>
  <c r="AD27" i="2"/>
  <c r="AD26" i="2"/>
  <c r="N57" i="10" l="1"/>
</calcChain>
</file>

<file path=xl/sharedStrings.xml><?xml version="1.0" encoding="utf-8"?>
<sst xmlns="http://schemas.openxmlformats.org/spreadsheetml/2006/main" count="1422" uniqueCount="275">
  <si>
    <t>Timestamp</t>
  </si>
  <si>
    <t>Did you find it easy to find the required buttons? (1 for very hard and 10 for very easy)</t>
  </si>
  <si>
    <t>Any comment about the point?</t>
  </si>
  <si>
    <t>Did you recognize different icons and labels? (1 for very hard and 10 for very easy)</t>
  </si>
  <si>
    <t>Text and colors were easy for the eyes? (1 for no and 10 for yes)</t>
  </si>
  <si>
    <t>The application is easy to use with minimum instructions from the tester. (1 for no and 10 for yes)</t>
  </si>
  <si>
    <t>Steps are easy to follow, and buttons are easy to remember  (1 for no and 10 for yes)</t>
  </si>
  <si>
    <t>You managed to finish the tasks as fast as possible. (1 for no and 10 for yes)</t>
  </si>
  <si>
    <t>Everything was clear and easy to preform without frustration (1 for no and 10 for yes)</t>
  </si>
  <si>
    <t>You managed to perform well in labs without difficulties in using the VR equipment</t>
  </si>
  <si>
    <t>You managed to perform well in labs by hearing ROBO instructions and following them.</t>
  </si>
  <si>
    <t>ROBO  instructions were clear and easy to follow</t>
  </si>
  <si>
    <t>You found the application interesting. (1 for no and 10 for yes)</t>
  </si>
  <si>
    <t>You found the gamification functions fun and encouraged competitive behavior. . (1 for no and 10 for yes)</t>
  </si>
  <si>
    <t xml:space="preserve">Was the application appealing in term of colors and visuals? </t>
  </si>
  <si>
    <t>Was the navigation through the application easy and understandable?</t>
  </si>
  <si>
    <t>Was the interface crowded and hard to use?</t>
  </si>
  <si>
    <t>Were the icons related to the information presented?</t>
  </si>
  <si>
    <t>Does the app appearance consistent?</t>
  </si>
  <si>
    <t>was the app fast to preform a task?</t>
  </si>
  <si>
    <t>Was it easy to go back to previous pages?</t>
  </si>
  <si>
    <t>Could you use the application without instructions?</t>
  </si>
  <si>
    <t>Did you manage to achieve the goal of the application?</t>
  </si>
  <si>
    <t>What parts of the application did you think represented game aspects and were fun to experience?</t>
  </si>
  <si>
    <t>Would you use the application in your education if available to you?</t>
  </si>
  <si>
    <t>Would you recommend the application to other people?</t>
  </si>
  <si>
    <t>-</t>
  </si>
  <si>
    <t>The text of small bottons that were on the board are soo small and not clear</t>
  </si>
  <si>
    <t>Some colors weren't clear (especially when we had to wires) while when i had multiple wires they were clear</t>
  </si>
  <si>
    <t xml:space="preserve">Yes it was so appealing and the colors/visuals were very attractive </t>
  </si>
  <si>
    <t>Yes it was easy and understandable, once you get used to it becomes so much easier</t>
  </si>
  <si>
    <t xml:space="preserve">No, the interface was easy to use and everything is well organized </t>
  </si>
  <si>
    <t>Yes they were</t>
  </si>
  <si>
    <t xml:space="preserve">Yes, the only problem was that the text was small for the small parts on the board </t>
  </si>
  <si>
    <t xml:space="preserve">Yes </t>
  </si>
  <si>
    <t>Yes</t>
  </si>
  <si>
    <t>Yes since there's a hint, you only need to use it for the first time with instructions later there's no need.</t>
  </si>
  <si>
    <t xml:space="preserve">Everything was interesting and fun since I don't have any experience in labs. </t>
  </si>
  <si>
    <t>Yes sure!</t>
  </si>
  <si>
    <t>Definitely yes!</t>
  </si>
  <si>
    <t>No everything easy</t>
  </si>
  <si>
    <t>No</t>
  </si>
  <si>
    <t xml:space="preserve">No it was easy </t>
  </si>
  <si>
    <t>The hints helped me a lot and it was easy to follow</t>
  </si>
  <si>
    <t>Sometimes it lagged but other things were good</t>
  </si>
  <si>
    <t>The robot was easy to follow with</t>
  </si>
  <si>
    <t>First time using this application it was fun</t>
  </si>
  <si>
    <t>Yes the colors and visuals were good</t>
  </si>
  <si>
    <t xml:space="preserve">Yes everything was simple and easy with ROBO the robot </t>
  </si>
  <si>
    <t>No it was good</t>
  </si>
  <si>
    <t xml:space="preserve">Yes all the information were related </t>
  </si>
  <si>
    <t>Kind of yes it just lagged a bit</t>
  </si>
  <si>
    <t>Yes there was an exit button</t>
  </si>
  <si>
    <t>No I used the instructions from the powerpoint</t>
  </si>
  <si>
    <t xml:space="preserve">Putting all the chips and wires together </t>
  </si>
  <si>
    <t xml:space="preserve">Yes it helped understanding me where all the wires went </t>
  </si>
  <si>
    <t>Good luck on it 🩷 it is good but the vr tool little bit hard to use</t>
  </si>
  <si>
    <t>Kind of yes</t>
  </si>
  <si>
    <t>Hard to type in</t>
  </si>
  <si>
    <t xml:space="preserve">Starting the circuit </t>
  </si>
  <si>
    <t>Yes for the it people</t>
  </si>
  <si>
    <t xml:space="preserve"> </t>
  </si>
  <si>
    <t xml:space="preserve">I suggest adding another hand </t>
  </si>
  <si>
    <t xml:space="preserve">It was hard sometimes to focus </t>
  </si>
  <si>
    <t xml:space="preserve">Robo was very helpful </t>
  </si>
  <si>
    <t xml:space="preserve">I would like to use it in our labs </t>
  </si>
  <si>
    <t xml:space="preserve">Sometime its hard </t>
  </si>
  <si>
    <t xml:space="preserve">Maybe after some time of practice </t>
  </si>
  <si>
    <t>To get the result that i was excepting from the lab</t>
  </si>
  <si>
    <t xml:space="preserve">Yes definitely </t>
  </si>
  <si>
    <t>The colors weren't very clear they both looked black but I could separate them. And some writing was too small I couldn't read it</t>
  </si>
  <si>
    <t>Maybe add captions to the wires so I know where to put them</t>
  </si>
  <si>
    <t xml:space="preserve">Very interesting it was very fun </t>
  </si>
  <si>
    <t>Yes very clear but the font was too small</t>
  </si>
  <si>
    <t>Yes but a little laggy</t>
  </si>
  <si>
    <t>Not really it erased what I wrote before</t>
  </si>
  <si>
    <t>I liked experimenting with the wires and doing the labs and I loved the leaderboard</t>
  </si>
  <si>
    <t xml:space="preserve">Definitely it's very fun </t>
  </si>
  <si>
    <t>Yes nice</t>
  </si>
  <si>
    <t>Sureee</t>
  </si>
  <si>
    <t xml:space="preserve">No </t>
  </si>
  <si>
    <t xml:space="preserve">Stable </t>
  </si>
  <si>
    <t>Yes cool</t>
  </si>
  <si>
    <t>Yep</t>
  </si>
  <si>
    <t xml:space="preserve">Build </t>
  </si>
  <si>
    <t xml:space="preserve">نعم ينفع جدا خصوصا للصغار </t>
  </si>
  <si>
    <t xml:space="preserve">لاشي </t>
  </si>
  <si>
    <t>somtimes when you click it slips to the other nearby buttons</t>
  </si>
  <si>
    <t>i think the colors of the wires should be a little but brighter</t>
  </si>
  <si>
    <t>yes, especially the little robot he was so cute, however the texts sometimes appears shaky especially when you move your head</t>
  </si>
  <si>
    <t>it was very easy just like regular mobile apps</t>
  </si>
  <si>
    <t>no, it was actually very simple and clear</t>
  </si>
  <si>
    <t xml:space="preserve">yes it was obvious what they represent </t>
  </si>
  <si>
    <t xml:space="preserve">yes, it’s consistent in style and doesn’t look patchy </t>
  </si>
  <si>
    <t xml:space="preserve">yes, but i struggled a tiny bit while pressing buttons since it kinda slip, but overall it’s not that hard or frustrating </t>
  </si>
  <si>
    <t xml:space="preserve">yes you just click a simple back button </t>
  </si>
  <si>
    <t>yes since it is clear and already has a cute little instructor (robo)</t>
  </si>
  <si>
    <t>yes i built a fully functioning logical circuit</t>
  </si>
  <si>
    <t xml:space="preserve">the limited hearts made me think twice about the placement so i don’t lose, and it’s fun to compete with your colleagues in the leaderboard </t>
  </si>
  <si>
    <t>yes, it’s as good as the real lab</t>
  </si>
  <si>
    <t xml:space="preserve">definitely </t>
  </si>
  <si>
    <t xml:space="preserve">Yes but by practicing </t>
  </si>
  <si>
    <t>No, I had some difficulty to drag and drop the wires , but again I think by practicing it can be easier to done faster.</t>
  </si>
  <si>
    <t>Sometimes, I face difficulties to find back button because it doesn’t show up to me. It shows after I press multiples times.</t>
  </si>
  <si>
    <t xml:space="preserve">Maybe </t>
  </si>
  <si>
    <t>The physical board with wires and other components.</t>
  </si>
  <si>
    <t>Yes, but I suggest to make in Arabic language also the other languages, and about the instructions,I don’t think it enough to understand the subject, put even though it can be improve it by time.</t>
  </si>
  <si>
    <t xml:space="preserve">Yes for sure </t>
  </si>
  <si>
    <t xml:space="preserve">Perfect </t>
  </si>
  <si>
    <t>yes</t>
  </si>
  <si>
    <t>I think i need some help</t>
  </si>
  <si>
    <t>Switching the LED ON AND OFF</t>
  </si>
  <si>
    <t>Yes ofc</t>
  </si>
  <si>
    <t>The colors on the wires are a bit dark</t>
  </si>
  <si>
    <t>Very easy</t>
  </si>
  <si>
    <t>It wasn't crowder it was all organized and easy to use and easy to follow the instructions</t>
  </si>
  <si>
    <t>Yes they were all related</t>
  </si>
  <si>
    <t>It was all good and the appearance of the chips but the wire is a bit dark but still easy to know what color of yhe wire is</t>
  </si>
  <si>
    <t>The part were it showed me that I was wrong in some of the applications and I was very satisfied when it worked</t>
  </si>
  <si>
    <t>Yes, it helps a lot and shows how it can help knowing how a real bread board works</t>
  </si>
  <si>
    <t xml:space="preserve">Some buttons are a bit small maybe make them a bit bigger, sometimes there are many buttons so i get confused about which one to choose </t>
  </si>
  <si>
    <t xml:space="preserve">Yes it was easy for the eyes but the colors of the wires could be made clearer </t>
  </si>
  <si>
    <t xml:space="preserve">Yes but sometimes i get confused which button to use </t>
  </si>
  <si>
    <t xml:space="preserve">It was good </t>
  </si>
  <si>
    <t xml:space="preserve">Yes but the sizes of text and buttons aren’t consistent </t>
  </si>
  <si>
    <t>I think so</t>
  </si>
  <si>
    <t>Probably yes but it might take a bit of time</t>
  </si>
  <si>
    <t xml:space="preserve">Learder board time and hearts </t>
  </si>
  <si>
    <t xml:space="preserve">Yess , but i recommend not signing in with email as it takes time to type using vr, maybe use just the id of student </t>
  </si>
  <si>
    <t>Yess</t>
  </si>
  <si>
    <t>The texts are a bit unclear</t>
  </si>
  <si>
    <t>It glitches when moving fast</t>
  </si>
  <si>
    <t>Performing the task was easy and well guided for someone who is playing for the first time</t>
  </si>
  <si>
    <t xml:space="preserve">Yes, the application would make learning much more easier </t>
  </si>
  <si>
    <t>Yes but the light blue color is too light</t>
  </si>
  <si>
    <t xml:space="preserve">The way we can interact to build the circuit with instructions </t>
  </si>
  <si>
    <t xml:space="preserve">Yes to kids </t>
  </si>
  <si>
    <t>I like how the color is so comfy not  red or that colors hurt your eyes</t>
  </si>
  <si>
    <t>I tried to to do it correctly more that focusing in time</t>
  </si>
  <si>
    <t>I did know some information from my background but ROBO reminded me about point that I forget</t>
  </si>
  <si>
    <t>Yes ,it has  clear and  colorful  colors with middle tone not high or low bright .</t>
  </si>
  <si>
    <t>It was easy, but sometimes the click button (to go to next steps) I needed to be close more to the display to work successfully .</t>
  </si>
  <si>
    <t>No , it has just what needed to be shown.</t>
  </si>
  <si>
    <t>Yes , the tools of the experiment was close to the real ones.</t>
  </si>
  <si>
    <t>Yes , there was icon for going back</t>
  </si>
  <si>
    <t>For me as IT Student yes I can , even for non IT students easy the application user friendly.</t>
  </si>
  <si>
    <t>Part of experiment when putting the wires and gets into the breadboard</t>
  </si>
  <si>
    <t>Of course, it’s explains everything relate to the course so well as the tools and what needed to use for +  the rules of gates etc, it was so good for me.</t>
  </si>
  <si>
    <t>Yes they will get interest into VR &amp;IT</t>
  </si>
  <si>
    <t>The structure of the wires needes fixing, it would be better if you provided real photos or demonstrational photos that would should show how it's implemented in real life and regarding to the placing of the wires signals I prefer you put a not on a side on what happened if you miss up or were the pin is heading in the breadboard</t>
  </si>
  <si>
    <t>Just the arrangements of wires</t>
  </si>
  <si>
    <t>Make it softer which is not too bright</t>
  </si>
  <si>
    <t>The more you get comfortable with the controls the better</t>
  </si>
  <si>
    <t>Sometimes lags</t>
  </si>
  <si>
    <t>No not really it was fine</t>
  </si>
  <si>
    <t>Yeah</t>
  </si>
  <si>
    <t>No needs fixing</t>
  </si>
  <si>
    <t>Yes there is a bit of a delay</t>
  </si>
  <si>
    <t>No but yes without the voice</t>
  </si>
  <si>
    <t>Placing wires</t>
  </si>
  <si>
    <t>He was cuteeee i liked him</t>
  </si>
  <si>
    <t xml:space="preserve">I really likked the app , literally everything was amazing </t>
  </si>
  <si>
    <t>nope</t>
  </si>
  <si>
    <t>yess</t>
  </si>
  <si>
    <t>Reallly fastt</t>
  </si>
  <si>
    <t>Yes yes</t>
  </si>
  <si>
    <t xml:space="preserve">Of course </t>
  </si>
  <si>
    <t>Everything was enjoyable and fun</t>
  </si>
  <si>
    <t xml:space="preserve">Yeahhh I really need it this course its really helpful </t>
  </si>
  <si>
    <t>I have already told my family also my friends about it 💗💗</t>
  </si>
  <si>
    <t xml:space="preserve"> -</t>
  </si>
  <si>
    <t>Mean</t>
  </si>
  <si>
    <t>STD</t>
  </si>
  <si>
    <t>Question</t>
  </si>
  <si>
    <t>AVG</t>
  </si>
  <si>
    <t>SEM</t>
  </si>
  <si>
    <t>p-value</t>
  </si>
  <si>
    <t>Q1</t>
  </si>
  <si>
    <t>Q2</t>
  </si>
  <si>
    <t>Q3</t>
  </si>
  <si>
    <t>Q4</t>
  </si>
  <si>
    <t>Q4. You found the gamification functions fun and encouraged competitive behavior. . (1 for no and 10 for yes)</t>
  </si>
  <si>
    <t>Q3. You found the application interesting. (1 for no and 10 for yes)</t>
  </si>
  <si>
    <t>Q1.Everything was clear and easy to preform without frustration (1 for no and 10 for yes)</t>
  </si>
  <si>
    <t>sample =23</t>
  </si>
  <si>
    <t>Hypothetical mean value=7</t>
  </si>
  <si>
    <t>one sample t-test</t>
  </si>
  <si>
    <t>Criteria</t>
  </si>
  <si>
    <t>Usage cumbersomeness.</t>
  </si>
  <si>
    <t>User Confidence</t>
  </si>
  <si>
    <t>Prior knowledge and training</t>
  </si>
  <si>
    <t>Brightness and Colouring</t>
  </si>
  <si>
    <t>Recommending the App</t>
  </si>
  <si>
    <t>System/interface Consistency</t>
  </si>
  <si>
    <t>Q5</t>
  </si>
  <si>
    <t>Q6</t>
  </si>
  <si>
    <t>Q7</t>
  </si>
  <si>
    <t>Q8</t>
  </si>
  <si>
    <t>Q9</t>
  </si>
  <si>
    <t>Q10</t>
  </si>
  <si>
    <t>Q11</t>
  </si>
  <si>
    <t>Q12</t>
  </si>
  <si>
    <t>Q13</t>
  </si>
  <si>
    <t>Q14</t>
  </si>
  <si>
    <t>Q15</t>
  </si>
  <si>
    <t>Q16</t>
  </si>
  <si>
    <t>Q17</t>
  </si>
  <si>
    <t>Q18</t>
  </si>
  <si>
    <t>Q19</t>
  </si>
  <si>
    <t>Q20</t>
  </si>
  <si>
    <t>Q21</t>
  </si>
  <si>
    <t>Q22</t>
  </si>
  <si>
    <t>Q23</t>
  </si>
  <si>
    <t>Q24</t>
  </si>
  <si>
    <t>Survey Question (s)</t>
  </si>
  <si>
    <t>Q1. Did you find it easy to find the required buttons? (1 for very hard and 10 for very easy)</t>
  </si>
  <si>
    <t>Q2. Did you recognize different icons and labels? (1 for very hard and 10 for very easy)</t>
  </si>
  <si>
    <t>Q5. Steps are easy to follow, and buttons are easy to remember (1 for no and 10 for yes)</t>
  </si>
  <si>
    <t>Q15. Was the App interface crowded and hard to use?</t>
  </si>
  <si>
    <t>Q7. Was everything clear and easy to preform without frustration (1 for no and 10 for yes)?</t>
  </si>
  <si>
    <t>Q10. Were ROBO instructions clear and easy to follow?</t>
  </si>
  <si>
    <t>Q4. The application is easy to use with minimum instructions from the tester. (1 for no and 10 for yes)</t>
  </si>
  <si>
    <t>Q17. Is the app appearance consistent?</t>
  </si>
  <si>
    <t>Q6. Did you manage to finish the tasks as fast as possible (1 for no and 10 for yes)?</t>
  </si>
  <si>
    <t>Q8. Did you manage to perform well in labs without difficulties in using the VR equipment?</t>
  </si>
  <si>
    <t>Q9. Did you manage to perform well in labs by hearing ROBO instructions and following them?</t>
  </si>
  <si>
    <t>Q14. Was the navigation through the application easy and understandable?</t>
  </si>
  <si>
    <t>Q20. Could you use the application without instructions?</t>
  </si>
  <si>
    <t>Q3. Text and colors were easy for the eyes? (1 for no and 10 for yes)</t>
  </si>
  <si>
    <t xml:space="preserve">Q13. Was the application appealing in term of colors and visuals? </t>
  </si>
  <si>
    <t>Q11. You found the application interesting. (1 for no and 10 for yes)</t>
  </si>
  <si>
    <t>Q12. You found the gamification functions fun and encouraged competitive behavior. (1 for no and 10 for yes)</t>
  </si>
  <si>
    <t>Q23. Would you use the application in your education if available to you?</t>
  </si>
  <si>
    <t>Q24. Would you recommend the application to other people?</t>
  </si>
  <si>
    <t>Average</t>
  </si>
  <si>
    <t>Hardship</t>
  </si>
  <si>
    <t>Opposite</t>
  </si>
  <si>
    <t>Interface</t>
  </si>
  <si>
    <t>Usage Easiness</t>
  </si>
  <si>
    <t>Prior Knowledge</t>
  </si>
  <si>
    <t>Colors and Brightness</t>
  </si>
  <si>
    <t>Engagement</t>
  </si>
  <si>
    <t>Recommendation</t>
  </si>
  <si>
    <t>Memorability</t>
  </si>
  <si>
    <t>Tension</t>
  </si>
  <si>
    <t>Interface complexity and usage</t>
  </si>
  <si>
    <t>Q1, Q2, Q10, Q15</t>
  </si>
  <si>
    <t xml:space="preserve">User Interface Usage and Complexity </t>
  </si>
  <si>
    <t>Tension and Frustration</t>
  </si>
  <si>
    <t>Learnability and Technician person need</t>
  </si>
  <si>
    <t>Performance (learning speed)</t>
  </si>
  <si>
    <t>Satisfaction and Engagement</t>
  </si>
  <si>
    <t>Q1, Q2, Q10, and Q15</t>
  </si>
  <si>
    <t>Learnability &amp; technician person need</t>
  </si>
  <si>
    <t>Performance (Learning Speed)</t>
  </si>
  <si>
    <t>Q14, Q20</t>
  </si>
  <si>
    <t>Q3, Q13</t>
  </si>
  <si>
    <t>Q11, A12</t>
  </si>
  <si>
    <t>Q23, Q24</t>
  </si>
  <si>
    <t>Overall Usability</t>
  </si>
  <si>
    <t>Q4. Learnability</t>
  </si>
  <si>
    <t>Q5. Memorability</t>
  </si>
  <si>
    <t>Q6. Performance</t>
  </si>
  <si>
    <t>Q5. Memorability %</t>
  </si>
  <si>
    <t>Q4. Learnablity %</t>
  </si>
  <si>
    <t>Q6. Performance %</t>
  </si>
  <si>
    <t>https://www.youtube.com/watch?v=Fv5dTnNjXG4</t>
  </si>
  <si>
    <t>Q7. Tension and Frustration</t>
  </si>
  <si>
    <t>%</t>
  </si>
  <si>
    <t>Q8. Usage of VR Equipment</t>
  </si>
  <si>
    <t>Q9. Robo Instructions &amp; Hints</t>
  </si>
  <si>
    <t>Q1. Ease of Usage</t>
  </si>
  <si>
    <t>Q2. Ease of Usage</t>
  </si>
  <si>
    <t>Q3. Texts and Colors</t>
  </si>
  <si>
    <t>Q12. Satisfaction and Gamification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</si>
</sst>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9" x14ac:knownFonts="1">
    <font>
      <sz val="10"/>
      <color rgb="FF000000"/>
      <name val="Arial"/>
      <scheme val="minor"/>
    </font>
    <font>
      <sz val="10"/>
      <color theme="1"/>
      <name val="Arial"/>
      <scheme val="minor"/>
    </font>
    <font>
      <sz val="10"/>
      <color rgb="FF000000"/>
      <name val="Calibri"/>
      <family val="2"/>
    </font>
    <font>
      <sz val="10"/>
      <color theme="1"/>
      <name val="Arial"/>
      <family val="2"/>
      <scheme val="minor"/>
    </font>
    <font>
      <sz val="11"/>
      <color rgb="FF000000"/>
      <name val="Times New Roman"/>
      <family val="1"/>
    </font>
    <font>
      <sz val="10"/>
      <color rgb="FF000000"/>
      <name val="Arial"/>
      <family val="2"/>
    </font>
    <font>
      <sz val="10"/>
      <color rgb="FF000000"/>
      <name val="Times New Roman"/>
      <family val="1"/>
    </font>
    <font>
      <b/>
      <sz val="10"/>
      <color rgb="FF000000"/>
      <name val="Arial"/>
      <family val="2"/>
    </font>
    <font>
      <sz val="10"/>
      <color rgb="FF000000"/>
      <name val="Arial"/>
      <scheme val="minor"/>
    </font>
  </fonts>
  <fills count="10">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rgb="FFBFBFBF"/>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D9D9D9"/>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64">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1" fillId="0" borderId="0" xfId="0" applyFont="1" applyAlignment="1"/>
    <xf numFmtId="0" fontId="2" fillId="0" borderId="1" xfId="0" applyFont="1" applyBorder="1" applyAlignment="1">
      <alignment horizontal="center" vertical="center"/>
    </xf>
    <xf numFmtId="0" fontId="2" fillId="0" borderId="2" xfId="0" applyFont="1" applyBorder="1" applyAlignment="1">
      <alignment horizontal="righ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1" fillId="4" borderId="5" xfId="0" applyFont="1" applyFill="1" applyBorder="1" applyAlignment="1">
      <alignment vertical="center"/>
    </xf>
    <xf numFmtId="0" fontId="5" fillId="0" borderId="4" xfId="0" applyFont="1" applyBorder="1" applyAlignment="1">
      <alignment vertical="center"/>
    </xf>
    <xf numFmtId="0" fontId="0" fillId="0" borderId="5" xfId="0" applyFont="1" applyBorder="1" applyAlignment="1"/>
    <xf numFmtId="0" fontId="0" fillId="2" borderId="5" xfId="0" applyFont="1" applyFill="1" applyBorder="1" applyAlignment="1"/>
    <xf numFmtId="0" fontId="1" fillId="2" borderId="5" xfId="0" applyFont="1" applyFill="1" applyBorder="1" applyAlignment="1"/>
    <xf numFmtId="0" fontId="3" fillId="2" borderId="5" xfId="0" applyFont="1" applyFill="1" applyBorder="1" applyAlignment="1"/>
    <xf numFmtId="0" fontId="1" fillId="4" borderId="9" xfId="0" applyFont="1" applyFill="1" applyBorder="1" applyAlignment="1">
      <alignment vertical="center"/>
    </xf>
    <xf numFmtId="0" fontId="1" fillId="4" borderId="0" xfId="0" applyFont="1" applyFill="1" applyBorder="1" applyAlignment="1">
      <alignment vertical="center"/>
    </xf>
    <xf numFmtId="0" fontId="1" fillId="3" borderId="9" xfId="0" applyFont="1" applyFill="1" applyBorder="1" applyAlignment="1">
      <alignment vertical="center"/>
    </xf>
    <xf numFmtId="0" fontId="1" fillId="3" borderId="0" xfId="0" applyFont="1" applyFill="1" applyBorder="1" applyAlignment="1">
      <alignment vertical="center"/>
    </xf>
    <xf numFmtId="0" fontId="2" fillId="0" borderId="2" xfId="0" applyFont="1" applyBorder="1" applyAlignment="1">
      <alignment horizontal="center" vertical="center"/>
    </xf>
    <xf numFmtId="0" fontId="0" fillId="6" borderId="0" xfId="0" applyFont="1" applyFill="1" applyAlignment="1"/>
    <xf numFmtId="0" fontId="1" fillId="6" borderId="0" xfId="0" applyFont="1" applyFill="1"/>
    <xf numFmtId="0" fontId="1" fillId="6" borderId="0" xfId="0" applyFont="1" applyFill="1" applyAlignment="1"/>
    <xf numFmtId="0" fontId="0" fillId="6" borderId="5" xfId="0" applyFont="1" applyFill="1" applyBorder="1" applyAlignment="1"/>
    <xf numFmtId="0" fontId="1" fillId="6" borderId="5" xfId="0" applyFont="1" applyFill="1" applyBorder="1" applyAlignment="1"/>
    <xf numFmtId="0" fontId="3" fillId="6" borderId="5" xfId="0" applyFont="1" applyFill="1" applyBorder="1" applyAlignment="1"/>
    <xf numFmtId="0" fontId="1" fillId="6" borderId="6" xfId="0" applyFont="1" applyFill="1" applyBorder="1" applyAlignment="1"/>
    <xf numFmtId="0" fontId="0" fillId="0" borderId="5" xfId="0" applyFont="1" applyFill="1" applyBorder="1" applyAlignment="1"/>
    <xf numFmtId="0" fontId="1" fillId="0" borderId="5" xfId="0" applyFont="1" applyFill="1" applyBorder="1" applyAlignment="1"/>
    <xf numFmtId="0" fontId="1" fillId="0" borderId="5" xfId="0" applyFont="1" applyFill="1" applyBorder="1" applyAlignment="1">
      <alignment vertical="center" wrapText="1"/>
    </xf>
    <xf numFmtId="0" fontId="0" fillId="0" borderId="0" xfId="0" applyFont="1" applyFill="1" applyAlignment="1"/>
    <xf numFmtId="0" fontId="0" fillId="7" borderId="5" xfId="0" applyFont="1" applyFill="1" applyBorder="1" applyAlignment="1"/>
    <xf numFmtId="0" fontId="1" fillId="7" borderId="5" xfId="0" applyFont="1" applyFill="1" applyBorder="1" applyAlignment="1"/>
    <xf numFmtId="0" fontId="1" fillId="7" borderId="0" xfId="0" applyFont="1" applyFill="1" applyAlignment="1"/>
    <xf numFmtId="0" fontId="0" fillId="7" borderId="0" xfId="0" applyFont="1" applyFill="1" applyAlignment="1"/>
    <xf numFmtId="0" fontId="1" fillId="7" borderId="0" xfId="0" applyFont="1" applyFill="1"/>
    <xf numFmtId="0" fontId="1" fillId="0" borderId="0" xfId="0" applyFont="1" applyFill="1"/>
    <xf numFmtId="0" fontId="3" fillId="7" borderId="5" xfId="0" applyFont="1" applyFill="1" applyBorder="1" applyAlignment="1"/>
    <xf numFmtId="0" fontId="1" fillId="0" borderId="5" xfId="0" applyFont="1" applyBorder="1"/>
    <xf numFmtId="0" fontId="1" fillId="0" borderId="5" xfId="0" applyFont="1" applyFill="1" applyBorder="1"/>
    <xf numFmtId="0" fontId="1" fillId="0" borderId="5" xfId="0" applyFont="1" applyBorder="1" applyAlignment="1"/>
    <xf numFmtId="0" fontId="1" fillId="8" borderId="5" xfId="0" applyFont="1" applyFill="1" applyBorder="1" applyAlignment="1"/>
    <xf numFmtId="0" fontId="0" fillId="8" borderId="5" xfId="0" applyFont="1" applyFill="1" applyBorder="1" applyAlignment="1"/>
    <xf numFmtId="0" fontId="6" fillId="5" borderId="1" xfId="0" applyFont="1" applyFill="1" applyBorder="1" applyAlignment="1">
      <alignment vertical="center"/>
    </xf>
    <xf numFmtId="0" fontId="6" fillId="5" borderId="2" xfId="0" applyFont="1" applyFill="1" applyBorder="1" applyAlignment="1">
      <alignment vertical="center"/>
    </xf>
    <xf numFmtId="0" fontId="6" fillId="0" borderId="4" xfId="0" applyFont="1" applyBorder="1" applyAlignment="1">
      <alignment vertical="center"/>
    </xf>
    <xf numFmtId="0" fontId="6" fillId="0" borderId="3" xfId="0" applyFont="1" applyBorder="1" applyAlignment="1">
      <alignment vertical="center"/>
    </xf>
    <xf numFmtId="0" fontId="4" fillId="9" borderId="1" xfId="0" applyFont="1" applyFill="1" applyBorder="1" applyAlignment="1">
      <alignment vertical="center" wrapText="1"/>
    </xf>
    <xf numFmtId="0" fontId="4" fillId="9" borderId="2" xfId="0" applyFont="1" applyFill="1" applyBorder="1" applyAlignment="1">
      <alignment vertical="center" wrapText="1"/>
    </xf>
    <xf numFmtId="0" fontId="5" fillId="9" borderId="2" xfId="0" applyFont="1" applyFill="1" applyBorder="1" applyAlignment="1">
      <alignment vertical="center"/>
    </xf>
    <xf numFmtId="0" fontId="4" fillId="0" borderId="3" xfId="0" applyFont="1" applyBorder="1" applyAlignment="1">
      <alignment vertical="center" wrapText="1"/>
    </xf>
    <xf numFmtId="0" fontId="4" fillId="0" borderId="4" xfId="0" applyFont="1" applyBorder="1" applyAlignment="1">
      <alignment vertical="center" wrapText="1"/>
    </xf>
    <xf numFmtId="0" fontId="7" fillId="0" borderId="4" xfId="0" applyFont="1" applyBorder="1" applyAlignment="1">
      <alignment vertical="center"/>
    </xf>
    <xf numFmtId="0" fontId="5" fillId="0" borderId="4" xfId="0" applyFont="1" applyBorder="1" applyAlignment="1">
      <alignment vertical="center" wrapText="1"/>
    </xf>
    <xf numFmtId="0" fontId="4" fillId="9" borderId="3" xfId="0" applyFont="1" applyFill="1" applyBorder="1" applyAlignment="1">
      <alignment vertical="center" wrapText="1"/>
    </xf>
    <xf numFmtId="0" fontId="4" fillId="9" borderId="4" xfId="0" applyFont="1" applyFill="1" applyBorder="1" applyAlignment="1">
      <alignment vertical="center" wrapText="1"/>
    </xf>
    <xf numFmtId="10" fontId="5" fillId="9" borderId="4" xfId="0" applyNumberFormat="1" applyFont="1" applyFill="1" applyBorder="1" applyAlignment="1">
      <alignment vertical="center"/>
    </xf>
    <xf numFmtId="0" fontId="5" fillId="9" borderId="4" xfId="0" applyFont="1" applyFill="1" applyBorder="1" applyAlignment="1">
      <alignment vertical="center"/>
    </xf>
    <xf numFmtId="9" fontId="0" fillId="0" borderId="0" xfId="1" applyFont="1" applyAlignment="1"/>
    <xf numFmtId="0" fontId="6" fillId="0" borderId="8" xfId="0" applyFont="1" applyBorder="1" applyAlignment="1">
      <alignment vertical="center"/>
    </xf>
    <xf numFmtId="0" fontId="6" fillId="0" borderId="7" xfId="0" applyFont="1" applyBorder="1" applyAlignment="1">
      <alignment vertical="center"/>
    </xf>
    <xf numFmtId="0" fontId="6" fillId="0" borderId="3" xfId="0" applyFont="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00"/>
              <a:t>Q4. The application is easy to use with minimum instructions from the tester. </a:t>
            </a:r>
          </a:p>
          <a:p>
            <a:pPr algn="l">
              <a:defRPr/>
            </a:pPr>
            <a:r>
              <a:rPr lang="en-US" sz="1000"/>
              <a:t>Q5. Steps are easy to follow, and buttons are easy to remember  </a:t>
            </a:r>
          </a:p>
          <a:p>
            <a:pPr algn="l">
              <a:defRPr/>
            </a:pPr>
            <a:r>
              <a:rPr lang="en-US" sz="1000"/>
              <a:t>Q6. You managed to finish the tasks as fast as possible</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1-compiled'!$H$31</c:f>
              <c:strCache>
                <c:ptCount val="1"/>
                <c:pt idx="0">
                  <c:v>Q4. Learnability</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9-7E80-4ACA-90C4-6689B6FD1809}"/>
                </c:ext>
              </c:extLst>
            </c:dLbl>
            <c:dLbl>
              <c:idx val="1"/>
              <c:delete val="1"/>
              <c:extLst>
                <c:ext xmlns:c15="http://schemas.microsoft.com/office/drawing/2012/chart" uri="{CE6537A1-D6FC-4f65-9D91-7224C49458BB}"/>
                <c:ext xmlns:c16="http://schemas.microsoft.com/office/drawing/2014/chart" uri="{C3380CC4-5D6E-409C-BE32-E72D297353CC}">
                  <c16:uniqueId val="{0000001A-7E80-4ACA-90C4-6689B6FD1809}"/>
                </c:ext>
              </c:extLst>
            </c:dLbl>
            <c:dLbl>
              <c:idx val="2"/>
              <c:delete val="1"/>
              <c:extLst>
                <c:ext xmlns:c15="http://schemas.microsoft.com/office/drawing/2012/chart" uri="{CE6537A1-D6FC-4f65-9D91-7224C49458BB}"/>
                <c:ext xmlns:c16="http://schemas.microsoft.com/office/drawing/2014/chart" uri="{C3380CC4-5D6E-409C-BE32-E72D297353CC}">
                  <c16:uniqueId val="{0000001B-7E80-4ACA-90C4-6689B6FD1809}"/>
                </c:ext>
              </c:extLst>
            </c:dLbl>
            <c:dLbl>
              <c:idx val="3"/>
              <c:delete val="1"/>
              <c:extLst>
                <c:ext xmlns:c15="http://schemas.microsoft.com/office/drawing/2012/chart" uri="{CE6537A1-D6FC-4f65-9D91-7224C49458BB}"/>
                <c:ext xmlns:c16="http://schemas.microsoft.com/office/drawing/2014/chart" uri="{C3380CC4-5D6E-409C-BE32-E72D297353CC}">
                  <c16:uniqueId val="{0000001C-7E80-4ACA-90C4-6689B6FD1809}"/>
                </c:ext>
              </c:extLst>
            </c:dLbl>
            <c:dLbl>
              <c:idx val="4"/>
              <c:tx>
                <c:rich>
                  <a:bodyPr/>
                  <a:lstStyle/>
                  <a:p>
                    <a:fld id="{8106ECE1-715E-48F4-BFC5-288F096F686B}"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7E80-4ACA-90C4-6689B6FD1809}"/>
                </c:ext>
              </c:extLst>
            </c:dLbl>
            <c:dLbl>
              <c:idx val="5"/>
              <c:tx>
                <c:rich>
                  <a:bodyPr/>
                  <a:lstStyle/>
                  <a:p>
                    <a:fld id="{A313C65E-EFB1-457C-A984-01FE0BD7FF7E}"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E80-4ACA-90C4-6689B6FD1809}"/>
                </c:ext>
              </c:extLst>
            </c:dLbl>
            <c:dLbl>
              <c:idx val="6"/>
              <c:tx>
                <c:rich>
                  <a:bodyPr/>
                  <a:lstStyle/>
                  <a:p>
                    <a:fld id="{7771D749-9661-4DC5-AEE9-4734165199F6}"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7E80-4ACA-90C4-6689B6FD1809}"/>
                </c:ext>
              </c:extLst>
            </c:dLbl>
            <c:dLbl>
              <c:idx val="7"/>
              <c:tx>
                <c:rich>
                  <a:bodyPr/>
                  <a:lstStyle/>
                  <a:p>
                    <a:fld id="{C9AC74F4-21E4-4339-8E76-9DE8F06E8029}"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E80-4ACA-90C4-6689B6FD1809}"/>
                </c:ext>
              </c:extLst>
            </c:dLbl>
            <c:dLbl>
              <c:idx val="8"/>
              <c:tx>
                <c:rich>
                  <a:bodyPr/>
                  <a:lstStyle/>
                  <a:p>
                    <a:fld id="{35E1F669-D03F-425B-BCD8-60BF10552FE7}"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E80-4ACA-90C4-6689B6FD1809}"/>
                </c:ext>
              </c:extLst>
            </c:dLbl>
            <c:dLbl>
              <c:idx val="9"/>
              <c:tx>
                <c:rich>
                  <a:bodyPr/>
                  <a:lstStyle/>
                  <a:p>
                    <a:fld id="{89E06EDC-ED8D-436A-9F20-7015F63F7D5C}"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E80-4ACA-90C4-6689B6FD180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1-compiled'!$G$32:$G$41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1-compiled'!$H$32:$H$41</c:f>
              <c:numCache>
                <c:formatCode>General</c:formatCode>
                <c:ptCount val="10"/>
                <c:pt idx="0">
                  <c:v>0</c:v>
                </c:pt>
                <c:pt idx="1">
                  <c:v>0</c:v>
                </c:pt>
                <c:pt idx="2">
                  <c:v>0</c:v>
                </c:pt>
                <c:pt idx="3">
                  <c:v>0</c:v>
                </c:pt>
                <c:pt idx="4">
                  <c:v>1</c:v>
                </c:pt>
                <c:pt idx="5">
                  <c:v>2</c:v>
                </c:pt>
                <c:pt idx="6">
                  <c:v>0</c:v>
                </c:pt>
                <c:pt idx="7">
                  <c:v>4</c:v>
                </c:pt>
                <c:pt idx="8">
                  <c:v>1</c:v>
                </c:pt>
                <c:pt idx="9">
                  <c:v>14</c:v>
                </c:pt>
              </c:numCache>
            </c:numRef>
          </c:val>
          <c:extLst>
            <c:ext xmlns:c15="http://schemas.microsoft.com/office/drawing/2012/chart" uri="{02D57815-91ED-43cb-92C2-25804820EDAC}">
              <c15:datalabelsRange>
                <c15:f>'Form responses 1-compiled'!$I$32:$I$41</c15:f>
                <c15:dlblRangeCache>
                  <c:ptCount val="10"/>
                  <c:pt idx="4">
                    <c:v>5%</c:v>
                  </c:pt>
                  <c:pt idx="5">
                    <c:v>9%</c:v>
                  </c:pt>
                  <c:pt idx="7">
                    <c:v>18%</c:v>
                  </c:pt>
                  <c:pt idx="8">
                    <c:v>5%</c:v>
                  </c:pt>
                  <c:pt idx="9">
                    <c:v>64%</c:v>
                  </c:pt>
                </c15:dlblRangeCache>
              </c15:datalabelsRange>
            </c:ext>
            <c:ext xmlns:c16="http://schemas.microsoft.com/office/drawing/2014/chart" uri="{C3380CC4-5D6E-409C-BE32-E72D297353CC}">
              <c16:uniqueId val="{00000000-7E80-4ACA-90C4-6689B6FD1809}"/>
            </c:ext>
          </c:extLst>
        </c:ser>
        <c:ser>
          <c:idx val="1"/>
          <c:order val="1"/>
          <c:tx>
            <c:strRef>
              <c:f>'Form responses 1-compiled'!$J$31</c:f>
              <c:strCache>
                <c:ptCount val="1"/>
                <c:pt idx="0">
                  <c:v>Q5. Memorability</c:v>
                </c:pt>
              </c:strCache>
            </c:strRef>
          </c:tx>
          <c:spPr>
            <a:solidFill>
              <a:schemeClr val="accent2"/>
            </a:solidFill>
            <a:ln>
              <a:noFill/>
            </a:ln>
            <a:effectLst/>
          </c:spPr>
          <c:invertIfNegative val="0"/>
          <c:dLbls>
            <c:dLbl>
              <c:idx val="0"/>
              <c:tx>
                <c:rich>
                  <a:bodyPr/>
                  <a:lstStyle/>
                  <a:p>
                    <a:fld id="{E061120D-4E53-4C31-A148-210C57A47BF3}"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E80-4ACA-90C4-6689B6FD1809}"/>
                </c:ext>
              </c:extLst>
            </c:dLbl>
            <c:dLbl>
              <c:idx val="1"/>
              <c:delete val="1"/>
              <c:extLst>
                <c:ext xmlns:c15="http://schemas.microsoft.com/office/drawing/2012/chart" uri="{CE6537A1-D6FC-4f65-9D91-7224C49458BB}"/>
                <c:ext xmlns:c16="http://schemas.microsoft.com/office/drawing/2014/chart" uri="{C3380CC4-5D6E-409C-BE32-E72D297353CC}">
                  <c16:uniqueId val="{00000006-7E80-4ACA-90C4-6689B6FD1809}"/>
                </c:ext>
              </c:extLst>
            </c:dLbl>
            <c:dLbl>
              <c:idx val="2"/>
              <c:delete val="1"/>
              <c:extLst>
                <c:ext xmlns:c15="http://schemas.microsoft.com/office/drawing/2012/chart" uri="{CE6537A1-D6FC-4f65-9D91-7224C49458BB}"/>
                <c:ext xmlns:c16="http://schemas.microsoft.com/office/drawing/2014/chart" uri="{C3380CC4-5D6E-409C-BE32-E72D297353CC}">
                  <c16:uniqueId val="{00000007-7E80-4ACA-90C4-6689B6FD1809}"/>
                </c:ext>
              </c:extLst>
            </c:dLbl>
            <c:dLbl>
              <c:idx val="3"/>
              <c:delete val="1"/>
              <c:extLst>
                <c:ext xmlns:c15="http://schemas.microsoft.com/office/drawing/2012/chart" uri="{CE6537A1-D6FC-4f65-9D91-7224C49458BB}"/>
                <c:ext xmlns:c16="http://schemas.microsoft.com/office/drawing/2014/chart" uri="{C3380CC4-5D6E-409C-BE32-E72D297353CC}">
                  <c16:uniqueId val="{00000008-7E80-4ACA-90C4-6689B6FD1809}"/>
                </c:ext>
              </c:extLst>
            </c:dLbl>
            <c:dLbl>
              <c:idx val="4"/>
              <c:delete val="1"/>
              <c:extLst>
                <c:ext xmlns:c15="http://schemas.microsoft.com/office/drawing/2012/chart" uri="{CE6537A1-D6FC-4f65-9D91-7224C49458BB}"/>
                <c:ext xmlns:c16="http://schemas.microsoft.com/office/drawing/2014/chart" uri="{C3380CC4-5D6E-409C-BE32-E72D297353CC}">
                  <c16:uniqueId val="{00000009-7E80-4ACA-90C4-6689B6FD1809}"/>
                </c:ext>
              </c:extLst>
            </c:dLbl>
            <c:dLbl>
              <c:idx val="5"/>
              <c:tx>
                <c:rich>
                  <a:bodyPr/>
                  <a:lstStyle/>
                  <a:p>
                    <a:fld id="{9C3C638F-3483-47D0-A6A8-B976AAED82F0}"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E80-4ACA-90C4-6689B6FD1809}"/>
                </c:ext>
              </c:extLst>
            </c:dLbl>
            <c:dLbl>
              <c:idx val="6"/>
              <c:tx>
                <c:rich>
                  <a:bodyPr/>
                  <a:lstStyle/>
                  <a:p>
                    <a:fld id="{17EB93E4-771E-4344-9BF3-89BFE56E47A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E80-4ACA-90C4-6689B6FD1809}"/>
                </c:ext>
              </c:extLst>
            </c:dLbl>
            <c:dLbl>
              <c:idx val="7"/>
              <c:tx>
                <c:rich>
                  <a:bodyPr/>
                  <a:lstStyle/>
                  <a:p>
                    <a:fld id="{273ACC98-05CC-43DC-8A2F-169461A10029}"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E80-4ACA-90C4-6689B6FD1809}"/>
                </c:ext>
              </c:extLst>
            </c:dLbl>
            <c:dLbl>
              <c:idx val="8"/>
              <c:tx>
                <c:rich>
                  <a:bodyPr/>
                  <a:lstStyle/>
                  <a:p>
                    <a:fld id="{94B02B0F-8805-4894-9C8D-4DDF16EBE15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E80-4ACA-90C4-6689B6FD1809}"/>
                </c:ext>
              </c:extLst>
            </c:dLbl>
            <c:dLbl>
              <c:idx val="9"/>
              <c:tx>
                <c:rich>
                  <a:bodyPr/>
                  <a:lstStyle/>
                  <a:p>
                    <a:fld id="{F7D718EE-1129-4F99-9A5C-ECC27CF1A2A6}"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E80-4ACA-90C4-6689B6FD180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1-compiled'!$G$32:$G$41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1-compiled'!$J$32:$J$41</c:f>
              <c:numCache>
                <c:formatCode>General</c:formatCode>
                <c:ptCount val="10"/>
                <c:pt idx="0">
                  <c:v>1</c:v>
                </c:pt>
                <c:pt idx="1">
                  <c:v>0</c:v>
                </c:pt>
                <c:pt idx="2">
                  <c:v>0</c:v>
                </c:pt>
                <c:pt idx="3">
                  <c:v>0</c:v>
                </c:pt>
                <c:pt idx="4">
                  <c:v>0</c:v>
                </c:pt>
                <c:pt idx="5">
                  <c:v>1</c:v>
                </c:pt>
                <c:pt idx="6">
                  <c:v>0</c:v>
                </c:pt>
                <c:pt idx="7">
                  <c:v>1</c:v>
                </c:pt>
                <c:pt idx="8">
                  <c:v>2</c:v>
                </c:pt>
                <c:pt idx="9">
                  <c:v>17</c:v>
                </c:pt>
              </c:numCache>
            </c:numRef>
          </c:val>
          <c:extLst>
            <c:ext xmlns:c15="http://schemas.microsoft.com/office/drawing/2012/chart" uri="{02D57815-91ED-43cb-92C2-25804820EDAC}">
              <c15:datalabelsRange>
                <c15:f>'Form responses 1-compiled'!$K$32:$K$41</c15:f>
                <c15:dlblRangeCache>
                  <c:ptCount val="10"/>
                  <c:pt idx="0">
                    <c:v>5%</c:v>
                  </c:pt>
                  <c:pt idx="5">
                    <c:v>5%</c:v>
                  </c:pt>
                  <c:pt idx="7">
                    <c:v>5%</c:v>
                  </c:pt>
                  <c:pt idx="8">
                    <c:v>9%</c:v>
                  </c:pt>
                  <c:pt idx="9">
                    <c:v>77%</c:v>
                  </c:pt>
                </c15:dlblRangeCache>
              </c15:datalabelsRange>
            </c:ext>
            <c:ext xmlns:c16="http://schemas.microsoft.com/office/drawing/2014/chart" uri="{C3380CC4-5D6E-409C-BE32-E72D297353CC}">
              <c16:uniqueId val="{00000001-7E80-4ACA-90C4-6689B6FD1809}"/>
            </c:ext>
          </c:extLst>
        </c:ser>
        <c:ser>
          <c:idx val="2"/>
          <c:order val="2"/>
          <c:tx>
            <c:strRef>
              <c:f>'Form responses 1-compiled'!$L$31</c:f>
              <c:strCache>
                <c:ptCount val="1"/>
                <c:pt idx="0">
                  <c:v>Q6. Performance</c:v>
                </c:pt>
              </c:strCache>
            </c:strRef>
          </c:tx>
          <c:spPr>
            <a:solidFill>
              <a:schemeClr val="accent3"/>
            </a:solidFill>
            <a:ln>
              <a:noFill/>
            </a:ln>
            <a:effectLst/>
          </c:spPr>
          <c:invertIfNegative val="0"/>
          <c:dLbls>
            <c:dLbl>
              <c:idx val="0"/>
              <c:tx>
                <c:rich>
                  <a:bodyPr/>
                  <a:lstStyle/>
                  <a:p>
                    <a:fld id="{EED2C018-1CCF-4AFF-9591-E29073748219}"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E80-4ACA-90C4-6689B6FD1809}"/>
                </c:ext>
              </c:extLst>
            </c:dLbl>
            <c:dLbl>
              <c:idx val="1"/>
              <c:delete val="1"/>
              <c:extLst>
                <c:ext xmlns:c15="http://schemas.microsoft.com/office/drawing/2012/chart" uri="{CE6537A1-D6FC-4f65-9D91-7224C49458BB}"/>
                <c:ext xmlns:c16="http://schemas.microsoft.com/office/drawing/2014/chart" uri="{C3380CC4-5D6E-409C-BE32-E72D297353CC}">
                  <c16:uniqueId val="{00000010-7E80-4ACA-90C4-6689B6FD1809}"/>
                </c:ext>
              </c:extLst>
            </c:dLbl>
            <c:dLbl>
              <c:idx val="2"/>
              <c:delete val="1"/>
              <c:extLst>
                <c:ext xmlns:c15="http://schemas.microsoft.com/office/drawing/2012/chart" uri="{CE6537A1-D6FC-4f65-9D91-7224C49458BB}"/>
                <c:ext xmlns:c16="http://schemas.microsoft.com/office/drawing/2014/chart" uri="{C3380CC4-5D6E-409C-BE32-E72D297353CC}">
                  <c16:uniqueId val="{00000011-7E80-4ACA-90C4-6689B6FD1809}"/>
                </c:ext>
              </c:extLst>
            </c:dLbl>
            <c:dLbl>
              <c:idx val="3"/>
              <c:tx>
                <c:rich>
                  <a:bodyPr/>
                  <a:lstStyle/>
                  <a:p>
                    <a:fld id="{4530D8CC-F757-41DB-85C3-142719BA6F18}"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E80-4ACA-90C4-6689B6FD1809}"/>
                </c:ext>
              </c:extLst>
            </c:dLbl>
            <c:dLbl>
              <c:idx val="4"/>
              <c:delete val="1"/>
              <c:extLst>
                <c:ext xmlns:c15="http://schemas.microsoft.com/office/drawing/2012/chart" uri="{CE6537A1-D6FC-4f65-9D91-7224C49458BB}"/>
                <c:ext xmlns:c16="http://schemas.microsoft.com/office/drawing/2014/chart" uri="{C3380CC4-5D6E-409C-BE32-E72D297353CC}">
                  <c16:uniqueId val="{00000013-7E80-4ACA-90C4-6689B6FD1809}"/>
                </c:ext>
              </c:extLst>
            </c:dLbl>
            <c:dLbl>
              <c:idx val="5"/>
              <c:delete val="1"/>
              <c:extLst>
                <c:ext xmlns:c15="http://schemas.microsoft.com/office/drawing/2012/chart" uri="{CE6537A1-D6FC-4f65-9D91-7224C49458BB}"/>
                <c:ext xmlns:c16="http://schemas.microsoft.com/office/drawing/2014/chart" uri="{C3380CC4-5D6E-409C-BE32-E72D297353CC}">
                  <c16:uniqueId val="{00000014-7E80-4ACA-90C4-6689B6FD1809}"/>
                </c:ext>
              </c:extLst>
            </c:dLbl>
            <c:dLbl>
              <c:idx val="6"/>
              <c:tx>
                <c:rich>
                  <a:bodyPr/>
                  <a:lstStyle/>
                  <a:p>
                    <a:fld id="{98E4924F-7489-43EF-9C78-B1F15576AAA5}"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E80-4ACA-90C4-6689B6FD1809}"/>
                </c:ext>
              </c:extLst>
            </c:dLbl>
            <c:dLbl>
              <c:idx val="7"/>
              <c:tx>
                <c:rich>
                  <a:bodyPr/>
                  <a:lstStyle/>
                  <a:p>
                    <a:fld id="{4CA68FCD-4384-47D3-A547-B66E5F32028B}"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E80-4ACA-90C4-6689B6FD1809}"/>
                </c:ext>
              </c:extLst>
            </c:dLbl>
            <c:dLbl>
              <c:idx val="8"/>
              <c:tx>
                <c:rich>
                  <a:bodyPr/>
                  <a:lstStyle/>
                  <a:p>
                    <a:fld id="{AB08D559-3F7D-417F-AE4B-819DF24E7F34}"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E80-4ACA-90C4-6689B6FD1809}"/>
                </c:ext>
              </c:extLst>
            </c:dLbl>
            <c:dLbl>
              <c:idx val="9"/>
              <c:tx>
                <c:rich>
                  <a:bodyPr/>
                  <a:lstStyle/>
                  <a:p>
                    <a:fld id="{A6AD3F09-EA83-4713-8832-E9F9C3616740}"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E80-4ACA-90C4-6689B6FD180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1-compiled'!$G$32:$G$41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1-compiled'!$L$32:$L$41</c:f>
              <c:numCache>
                <c:formatCode>General</c:formatCode>
                <c:ptCount val="10"/>
                <c:pt idx="0">
                  <c:v>1</c:v>
                </c:pt>
                <c:pt idx="1">
                  <c:v>0</c:v>
                </c:pt>
                <c:pt idx="2">
                  <c:v>0</c:v>
                </c:pt>
                <c:pt idx="3">
                  <c:v>1</c:v>
                </c:pt>
                <c:pt idx="4">
                  <c:v>0</c:v>
                </c:pt>
                <c:pt idx="5">
                  <c:v>0</c:v>
                </c:pt>
                <c:pt idx="6">
                  <c:v>2</c:v>
                </c:pt>
                <c:pt idx="7">
                  <c:v>4</c:v>
                </c:pt>
                <c:pt idx="8">
                  <c:v>3</c:v>
                </c:pt>
                <c:pt idx="9">
                  <c:v>11</c:v>
                </c:pt>
              </c:numCache>
            </c:numRef>
          </c:val>
          <c:extLst>
            <c:ext xmlns:c15="http://schemas.microsoft.com/office/drawing/2012/chart" uri="{02D57815-91ED-43cb-92C2-25804820EDAC}">
              <c15:datalabelsRange>
                <c15:f>'Form responses 1-compiled'!$M$32:$M$41</c15:f>
                <c15:dlblRangeCache>
                  <c:ptCount val="10"/>
                  <c:pt idx="0">
                    <c:v>5%</c:v>
                  </c:pt>
                  <c:pt idx="3">
                    <c:v>5%</c:v>
                  </c:pt>
                  <c:pt idx="6">
                    <c:v>9%</c:v>
                  </c:pt>
                  <c:pt idx="7">
                    <c:v>18%</c:v>
                  </c:pt>
                  <c:pt idx="8">
                    <c:v>14%</c:v>
                  </c:pt>
                  <c:pt idx="9">
                    <c:v>50%</c:v>
                  </c:pt>
                </c15:dlblRangeCache>
              </c15:datalabelsRange>
            </c:ext>
            <c:ext xmlns:c16="http://schemas.microsoft.com/office/drawing/2014/chart" uri="{C3380CC4-5D6E-409C-BE32-E72D297353CC}">
              <c16:uniqueId val="{00000002-7E80-4ACA-90C4-6689B6FD1809}"/>
            </c:ext>
          </c:extLst>
        </c:ser>
        <c:dLbls>
          <c:showLegendKey val="0"/>
          <c:showVal val="1"/>
          <c:showCatName val="0"/>
          <c:showSerName val="0"/>
          <c:showPercent val="0"/>
          <c:showBubbleSize val="0"/>
        </c:dLbls>
        <c:gapWidth val="195"/>
        <c:overlap val="-27"/>
        <c:axId val="937852800"/>
        <c:axId val="937855296"/>
      </c:barChart>
      <c:catAx>
        <c:axId val="937852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 1-10 (1 very hard, 10 very easy)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55296"/>
        <c:crosses val="autoZero"/>
        <c:auto val="1"/>
        <c:lblAlgn val="ctr"/>
        <c:lblOffset val="100"/>
        <c:noMultiLvlLbl val="0"/>
      </c:catAx>
      <c:valAx>
        <c:axId val="937855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52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r>
              <a:rPr lang="en-US" sz="1050"/>
              <a:t>Q7. Everything was clear and easy to preform without frustration</a:t>
            </a:r>
          </a:p>
          <a:p>
            <a:pPr algn="l">
              <a:defRPr sz="1050"/>
            </a:pPr>
            <a:r>
              <a:rPr lang="en-US" sz="1050"/>
              <a:t>Q8. You managed to perform well in labs without difficulties in using the VR equipment</a:t>
            </a:r>
          </a:p>
          <a:p>
            <a:pPr algn="l">
              <a:defRPr sz="1050"/>
            </a:pPr>
            <a:r>
              <a:rPr lang="en-US" sz="1050"/>
              <a:t>Q9. You managed to perform well in labs by hearing ROBO instructions and following them.</a:t>
            </a:r>
          </a:p>
          <a:p>
            <a:pPr algn="l">
              <a:defRPr sz="1050"/>
            </a:pPr>
            <a:endParaRPr lang="en-US" sz="1050"/>
          </a:p>
        </c:rich>
      </c:tx>
      <c:overlay val="0"/>
      <c:spPr>
        <a:noFill/>
        <a:ln>
          <a:noFill/>
        </a:ln>
        <a:effectLst/>
      </c:spPr>
      <c:txPr>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1-compiled'!$H$45</c:f>
              <c:strCache>
                <c:ptCount val="1"/>
                <c:pt idx="0">
                  <c:v>Q7. Tension and Frustration</c:v>
                </c:pt>
              </c:strCache>
            </c:strRef>
          </c:tx>
          <c:spPr>
            <a:solidFill>
              <a:schemeClr val="accent1"/>
            </a:solidFill>
            <a:ln>
              <a:noFill/>
            </a:ln>
            <a:effectLst/>
          </c:spPr>
          <c:invertIfNegative val="0"/>
          <c:dLbls>
            <c:dLbl>
              <c:idx val="0"/>
              <c:layout>
                <c:manualLayout>
                  <c:x val="-7.3310418536106387E-3"/>
                  <c:y val="-8.4875562720133283E-17"/>
                </c:manualLayout>
              </c:layout>
              <c:tx>
                <c:rich>
                  <a:bodyPr/>
                  <a:lstStyle/>
                  <a:p>
                    <a:fld id="{B3D08F57-3C47-4B23-BD7F-EA3377E7570B}"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AA2-4401-8CE9-FB62BC16E89F}"/>
                </c:ext>
              </c:extLst>
            </c:dLbl>
            <c:dLbl>
              <c:idx val="1"/>
              <c:tx>
                <c:rich>
                  <a:bodyPr/>
                  <a:lstStyle/>
                  <a:p>
                    <a:fld id="{C2897166-25AD-44E8-B26D-4E1D31807E32}"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AA2-4401-8CE9-FB62BC16E89F}"/>
                </c:ext>
              </c:extLst>
            </c:dLbl>
            <c:dLbl>
              <c:idx val="2"/>
              <c:tx>
                <c:rich>
                  <a:bodyPr/>
                  <a:lstStyle/>
                  <a:p>
                    <a:fld id="{DE206052-B089-45B1-B0F2-821EB5CFE227}"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AA2-4401-8CE9-FB62BC16E89F}"/>
                </c:ext>
              </c:extLst>
            </c:dLbl>
            <c:dLbl>
              <c:idx val="3"/>
              <c:tx>
                <c:rich>
                  <a:bodyPr/>
                  <a:lstStyle/>
                  <a:p>
                    <a:fld id="{6530DD60-05A4-4E7C-B8B6-634F8926343D}"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AA2-4401-8CE9-FB62BC16E89F}"/>
                </c:ext>
              </c:extLst>
            </c:dLbl>
            <c:dLbl>
              <c:idx val="4"/>
              <c:tx>
                <c:rich>
                  <a:bodyPr/>
                  <a:lstStyle/>
                  <a:p>
                    <a:fld id="{C43E9F49-5087-4FAC-A516-9855B08C6042}"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AA2-4401-8CE9-FB62BC16E89F}"/>
                </c:ext>
              </c:extLst>
            </c:dLbl>
            <c:dLbl>
              <c:idx val="5"/>
              <c:tx>
                <c:rich>
                  <a:bodyPr/>
                  <a:lstStyle/>
                  <a:p>
                    <a:fld id="{59DD0E44-6AB2-40F5-B7F4-0AE286EF101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AA2-4401-8CE9-FB62BC16E89F}"/>
                </c:ext>
              </c:extLst>
            </c:dLbl>
            <c:dLbl>
              <c:idx val="6"/>
              <c:tx>
                <c:rich>
                  <a:bodyPr/>
                  <a:lstStyle/>
                  <a:p>
                    <a:fld id="{49FEE500-8B9F-4DDB-A720-C011327484F4}"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AA2-4401-8CE9-FB62BC16E89F}"/>
                </c:ext>
              </c:extLst>
            </c:dLbl>
            <c:dLbl>
              <c:idx val="7"/>
              <c:layout>
                <c:manualLayout>
                  <c:x val="-7.3310418536106387E-3"/>
                  <c:y val="0"/>
                </c:manualLayout>
              </c:layout>
              <c:tx>
                <c:rich>
                  <a:bodyPr/>
                  <a:lstStyle/>
                  <a:p>
                    <a:fld id="{71500C79-D767-422F-BE55-AEF72EDFA4D5}"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AA2-4401-8CE9-FB62BC16E89F}"/>
                </c:ext>
              </c:extLst>
            </c:dLbl>
            <c:dLbl>
              <c:idx val="8"/>
              <c:tx>
                <c:rich>
                  <a:bodyPr/>
                  <a:lstStyle/>
                  <a:p>
                    <a:fld id="{9E5530CE-C4F0-4643-A85C-B756E2097765}"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AA2-4401-8CE9-FB62BC16E89F}"/>
                </c:ext>
              </c:extLst>
            </c:dLbl>
            <c:dLbl>
              <c:idx val="9"/>
              <c:layout>
                <c:manualLayout>
                  <c:x val="-1.6494844170623937E-2"/>
                  <c:y val="0"/>
                </c:manualLayout>
              </c:layout>
              <c:tx>
                <c:rich>
                  <a:bodyPr/>
                  <a:lstStyle/>
                  <a:p>
                    <a:fld id="{1042D119-D912-440D-BAA4-9B77E7B1F422}"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AA2-4401-8CE9-FB62BC16E8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1-compiled'!$G$46:$G$55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1-compiled'!$H$46:$H$55</c:f>
              <c:numCache>
                <c:formatCode>General</c:formatCode>
                <c:ptCount val="10"/>
                <c:pt idx="0">
                  <c:v>1</c:v>
                </c:pt>
                <c:pt idx="1">
                  <c:v>0</c:v>
                </c:pt>
                <c:pt idx="2">
                  <c:v>1</c:v>
                </c:pt>
                <c:pt idx="3">
                  <c:v>0</c:v>
                </c:pt>
                <c:pt idx="4">
                  <c:v>1</c:v>
                </c:pt>
                <c:pt idx="5">
                  <c:v>1</c:v>
                </c:pt>
                <c:pt idx="6">
                  <c:v>1</c:v>
                </c:pt>
                <c:pt idx="7">
                  <c:v>2</c:v>
                </c:pt>
                <c:pt idx="8">
                  <c:v>1</c:v>
                </c:pt>
                <c:pt idx="9">
                  <c:v>14</c:v>
                </c:pt>
              </c:numCache>
            </c:numRef>
          </c:val>
          <c:extLst>
            <c:ext xmlns:c15="http://schemas.microsoft.com/office/drawing/2012/chart" uri="{02D57815-91ED-43cb-92C2-25804820EDAC}">
              <c15:datalabelsRange>
                <c15:f>'Form responses 1-compiled'!$I$46:$I$55</c15:f>
                <c15:dlblRangeCache>
                  <c:ptCount val="10"/>
                  <c:pt idx="0">
                    <c:v>5%</c:v>
                  </c:pt>
                  <c:pt idx="1">
                    <c:v> </c:v>
                  </c:pt>
                  <c:pt idx="2">
                    <c:v>5%</c:v>
                  </c:pt>
                  <c:pt idx="3">
                    <c:v> </c:v>
                  </c:pt>
                  <c:pt idx="4">
                    <c:v>5%</c:v>
                  </c:pt>
                  <c:pt idx="5">
                    <c:v>5%</c:v>
                  </c:pt>
                  <c:pt idx="6">
                    <c:v>5%</c:v>
                  </c:pt>
                  <c:pt idx="7">
                    <c:v>9%</c:v>
                  </c:pt>
                  <c:pt idx="8">
                    <c:v>5%</c:v>
                  </c:pt>
                  <c:pt idx="9">
                    <c:v>64%</c:v>
                  </c:pt>
                </c15:dlblRangeCache>
              </c15:datalabelsRange>
            </c:ext>
            <c:ext xmlns:c16="http://schemas.microsoft.com/office/drawing/2014/chart" uri="{C3380CC4-5D6E-409C-BE32-E72D297353CC}">
              <c16:uniqueId val="{00000000-DAA2-4401-8CE9-FB62BC16E89F}"/>
            </c:ext>
          </c:extLst>
        </c:ser>
        <c:ser>
          <c:idx val="2"/>
          <c:order val="2"/>
          <c:tx>
            <c:strRef>
              <c:f>'Form responses 1-compiled'!$J$45</c:f>
              <c:strCache>
                <c:ptCount val="1"/>
                <c:pt idx="0">
                  <c:v>Q8. Usage of VR Equipment</c:v>
                </c:pt>
              </c:strCache>
            </c:strRef>
          </c:tx>
          <c:spPr>
            <a:solidFill>
              <a:schemeClr val="accent3"/>
            </a:solidFill>
            <a:ln>
              <a:noFill/>
            </a:ln>
            <a:effectLst/>
          </c:spPr>
          <c:invertIfNegative val="0"/>
          <c:dLbls>
            <c:dLbl>
              <c:idx val="0"/>
              <c:tx>
                <c:rich>
                  <a:bodyPr/>
                  <a:lstStyle/>
                  <a:p>
                    <a:fld id="{52295A08-7B30-4CC1-80DF-72580536B7A2}"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AA2-4401-8CE9-FB62BC16E89F}"/>
                </c:ext>
              </c:extLst>
            </c:dLbl>
            <c:dLbl>
              <c:idx val="1"/>
              <c:tx>
                <c:rich>
                  <a:bodyPr/>
                  <a:lstStyle/>
                  <a:p>
                    <a:fld id="{3B4A2F94-03AB-4224-B448-AB5DC08228D5}"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AA2-4401-8CE9-FB62BC16E89F}"/>
                </c:ext>
              </c:extLst>
            </c:dLbl>
            <c:dLbl>
              <c:idx val="2"/>
              <c:tx>
                <c:rich>
                  <a:bodyPr/>
                  <a:lstStyle/>
                  <a:p>
                    <a:fld id="{40E36503-62AB-448E-9438-88B3A1471B34}"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AA2-4401-8CE9-FB62BC16E89F}"/>
                </c:ext>
              </c:extLst>
            </c:dLbl>
            <c:dLbl>
              <c:idx val="3"/>
              <c:tx>
                <c:rich>
                  <a:bodyPr/>
                  <a:lstStyle/>
                  <a:p>
                    <a:fld id="{0609FBB7-9396-4F2F-83CB-3AF292AF9D69}"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AA2-4401-8CE9-FB62BC16E89F}"/>
                </c:ext>
              </c:extLst>
            </c:dLbl>
            <c:dLbl>
              <c:idx val="4"/>
              <c:tx>
                <c:rich>
                  <a:bodyPr/>
                  <a:lstStyle/>
                  <a:p>
                    <a:fld id="{B8F6D4F6-F101-4C9F-9B3A-E527801DEC0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AA2-4401-8CE9-FB62BC16E89F}"/>
                </c:ext>
              </c:extLst>
            </c:dLbl>
            <c:dLbl>
              <c:idx val="5"/>
              <c:tx>
                <c:rich>
                  <a:bodyPr/>
                  <a:lstStyle/>
                  <a:p>
                    <a:fld id="{29E64D25-6E34-4A47-A018-CBFADE64C5EA}"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AA2-4401-8CE9-FB62BC16E89F}"/>
                </c:ext>
              </c:extLst>
            </c:dLbl>
            <c:dLbl>
              <c:idx val="6"/>
              <c:tx>
                <c:rich>
                  <a:bodyPr/>
                  <a:lstStyle/>
                  <a:p>
                    <a:fld id="{659D8B94-CC2C-42A5-AAD6-FCEB62BA28D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AA2-4401-8CE9-FB62BC16E89F}"/>
                </c:ext>
              </c:extLst>
            </c:dLbl>
            <c:dLbl>
              <c:idx val="7"/>
              <c:tx>
                <c:rich>
                  <a:bodyPr/>
                  <a:lstStyle/>
                  <a:p>
                    <a:fld id="{A874E426-C04E-4AEC-B9CB-A6C8D24D1398}"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AA2-4401-8CE9-FB62BC16E89F}"/>
                </c:ext>
              </c:extLst>
            </c:dLbl>
            <c:dLbl>
              <c:idx val="8"/>
              <c:tx>
                <c:rich>
                  <a:bodyPr/>
                  <a:lstStyle/>
                  <a:p>
                    <a:fld id="{428737B7-4CAC-4CFC-9E23-1056054137D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AA2-4401-8CE9-FB62BC16E89F}"/>
                </c:ext>
              </c:extLst>
            </c:dLbl>
            <c:dLbl>
              <c:idx val="9"/>
              <c:tx>
                <c:rich>
                  <a:bodyPr/>
                  <a:lstStyle/>
                  <a:p>
                    <a:fld id="{DA61197B-D4A7-4131-813F-CE130C2D527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AA2-4401-8CE9-FB62BC16E8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1-compiled'!$G$46:$G$55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1-compiled'!$J$46:$J$55</c:f>
              <c:numCache>
                <c:formatCode>General</c:formatCode>
                <c:ptCount val="10"/>
                <c:pt idx="0">
                  <c:v>1</c:v>
                </c:pt>
                <c:pt idx="1">
                  <c:v>0</c:v>
                </c:pt>
                <c:pt idx="2">
                  <c:v>0</c:v>
                </c:pt>
                <c:pt idx="3">
                  <c:v>1</c:v>
                </c:pt>
                <c:pt idx="4">
                  <c:v>0</c:v>
                </c:pt>
                <c:pt idx="5">
                  <c:v>0</c:v>
                </c:pt>
                <c:pt idx="6">
                  <c:v>3</c:v>
                </c:pt>
                <c:pt idx="7">
                  <c:v>1</c:v>
                </c:pt>
                <c:pt idx="8">
                  <c:v>2</c:v>
                </c:pt>
                <c:pt idx="9">
                  <c:v>14</c:v>
                </c:pt>
              </c:numCache>
            </c:numRef>
          </c:val>
          <c:extLst>
            <c:ext xmlns:c15="http://schemas.microsoft.com/office/drawing/2012/chart" uri="{02D57815-91ED-43cb-92C2-25804820EDAC}">
              <c15:datalabelsRange>
                <c15:f>'Form responses 1-compiled'!$K$46:$K$55</c15:f>
                <c15:dlblRangeCache>
                  <c:ptCount val="10"/>
                  <c:pt idx="0">
                    <c:v>5%</c:v>
                  </c:pt>
                  <c:pt idx="1">
                    <c:v> </c:v>
                  </c:pt>
                  <c:pt idx="2">
                    <c:v> </c:v>
                  </c:pt>
                  <c:pt idx="3">
                    <c:v>5%</c:v>
                  </c:pt>
                  <c:pt idx="4">
                    <c:v> </c:v>
                  </c:pt>
                  <c:pt idx="5">
                    <c:v> </c:v>
                  </c:pt>
                  <c:pt idx="6">
                    <c:v>14%</c:v>
                  </c:pt>
                  <c:pt idx="7">
                    <c:v>5%</c:v>
                  </c:pt>
                  <c:pt idx="8">
                    <c:v>9%</c:v>
                  </c:pt>
                  <c:pt idx="9">
                    <c:v>64%</c:v>
                  </c:pt>
                </c15:dlblRangeCache>
              </c15:datalabelsRange>
            </c:ext>
            <c:ext xmlns:c16="http://schemas.microsoft.com/office/drawing/2014/chart" uri="{C3380CC4-5D6E-409C-BE32-E72D297353CC}">
              <c16:uniqueId val="{00000002-DAA2-4401-8CE9-FB62BC16E89F}"/>
            </c:ext>
          </c:extLst>
        </c:ser>
        <c:ser>
          <c:idx val="4"/>
          <c:order val="4"/>
          <c:tx>
            <c:strRef>
              <c:f>'Form responses 1-compiled'!$L$45</c:f>
              <c:strCache>
                <c:ptCount val="1"/>
                <c:pt idx="0">
                  <c:v>Q9. Robo Instructions &amp; Hints</c:v>
                </c:pt>
              </c:strCache>
            </c:strRef>
          </c:tx>
          <c:spPr>
            <a:solidFill>
              <a:schemeClr val="accent5"/>
            </a:solidFill>
            <a:ln>
              <a:noFill/>
            </a:ln>
            <a:effectLst/>
          </c:spPr>
          <c:invertIfNegative val="0"/>
          <c:dLbls>
            <c:dLbl>
              <c:idx val="0"/>
              <c:layout>
                <c:manualLayout>
                  <c:x val="5.4982813902079621E-3"/>
                  <c:y val="-8.4875562720133283E-17"/>
                </c:manualLayout>
              </c:layout>
              <c:tx>
                <c:rich>
                  <a:bodyPr/>
                  <a:lstStyle/>
                  <a:p>
                    <a:fld id="{5E6F0278-A97B-47DE-8030-F0CF356FCD98}"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DAA2-4401-8CE9-FB62BC16E89F}"/>
                </c:ext>
              </c:extLst>
            </c:dLbl>
            <c:dLbl>
              <c:idx val="1"/>
              <c:tx>
                <c:rich>
                  <a:bodyPr/>
                  <a:lstStyle/>
                  <a:p>
                    <a:fld id="{D4304FBD-EE26-4023-8E0E-DDFFF35A2BDA}"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AA2-4401-8CE9-FB62BC16E89F}"/>
                </c:ext>
              </c:extLst>
            </c:dLbl>
            <c:dLbl>
              <c:idx val="2"/>
              <c:tx>
                <c:rich>
                  <a:bodyPr/>
                  <a:lstStyle/>
                  <a:p>
                    <a:fld id="{B2210787-37EC-4CF7-A138-8B90B330A6D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DAA2-4401-8CE9-FB62BC16E89F}"/>
                </c:ext>
              </c:extLst>
            </c:dLbl>
            <c:dLbl>
              <c:idx val="3"/>
              <c:tx>
                <c:rich>
                  <a:bodyPr/>
                  <a:lstStyle/>
                  <a:p>
                    <a:fld id="{532B7EC5-F70E-4574-8192-2303BE4BEEF0}"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DAA2-4401-8CE9-FB62BC16E89F}"/>
                </c:ext>
              </c:extLst>
            </c:dLbl>
            <c:dLbl>
              <c:idx val="4"/>
              <c:tx>
                <c:rich>
                  <a:bodyPr/>
                  <a:lstStyle/>
                  <a:p>
                    <a:fld id="{22668D19-8E77-4A22-B5E1-A1240E562BFE}"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DAA2-4401-8CE9-FB62BC16E89F}"/>
                </c:ext>
              </c:extLst>
            </c:dLbl>
            <c:dLbl>
              <c:idx val="5"/>
              <c:tx>
                <c:rich>
                  <a:bodyPr/>
                  <a:lstStyle/>
                  <a:p>
                    <a:fld id="{ABF1DA4E-2858-4EB4-8ADD-0D5B14929A6D}"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DAA2-4401-8CE9-FB62BC16E89F}"/>
                </c:ext>
              </c:extLst>
            </c:dLbl>
            <c:dLbl>
              <c:idx val="6"/>
              <c:tx>
                <c:rich>
                  <a:bodyPr/>
                  <a:lstStyle/>
                  <a:p>
                    <a:fld id="{6CE8B26C-80BE-40A8-8D9C-137C7EB923EA}"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AA2-4401-8CE9-FB62BC16E89F}"/>
                </c:ext>
              </c:extLst>
            </c:dLbl>
            <c:dLbl>
              <c:idx val="7"/>
              <c:layout>
                <c:manualLayout>
                  <c:x val="7.3310418536106387E-3"/>
                  <c:y val="-8.4875562720133283E-17"/>
                </c:manualLayout>
              </c:layout>
              <c:tx>
                <c:rich>
                  <a:bodyPr/>
                  <a:lstStyle/>
                  <a:p>
                    <a:fld id="{3CE40DCC-D623-4D3E-936B-098B09F9361F}"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DAA2-4401-8CE9-FB62BC16E89F}"/>
                </c:ext>
              </c:extLst>
            </c:dLbl>
            <c:dLbl>
              <c:idx val="8"/>
              <c:layout>
                <c:manualLayout>
                  <c:x val="9.1638023170131644E-3"/>
                  <c:y val="-8.4875562720133283E-17"/>
                </c:manualLayout>
              </c:layout>
              <c:tx>
                <c:rich>
                  <a:bodyPr/>
                  <a:lstStyle/>
                  <a:p>
                    <a:fld id="{E0CB6D30-ABDD-468E-8114-3B11DEADD51D}"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DAA2-4401-8CE9-FB62BC16E89F}"/>
                </c:ext>
              </c:extLst>
            </c:dLbl>
            <c:dLbl>
              <c:idx val="9"/>
              <c:tx>
                <c:rich>
                  <a:bodyPr/>
                  <a:lstStyle/>
                  <a:p>
                    <a:fld id="{3493377B-7E59-4626-AFE8-86B5BA1D48AD}"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AA2-4401-8CE9-FB62BC16E8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1-compiled'!$G$46:$G$55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1-compiled'!$L$46:$L$55</c:f>
              <c:numCache>
                <c:formatCode>General</c:formatCode>
                <c:ptCount val="10"/>
                <c:pt idx="0">
                  <c:v>1</c:v>
                </c:pt>
                <c:pt idx="1">
                  <c:v>0</c:v>
                </c:pt>
                <c:pt idx="2">
                  <c:v>0</c:v>
                </c:pt>
                <c:pt idx="3">
                  <c:v>0</c:v>
                </c:pt>
                <c:pt idx="4">
                  <c:v>0</c:v>
                </c:pt>
                <c:pt idx="5">
                  <c:v>0</c:v>
                </c:pt>
                <c:pt idx="6">
                  <c:v>1</c:v>
                </c:pt>
                <c:pt idx="7">
                  <c:v>1</c:v>
                </c:pt>
                <c:pt idx="8">
                  <c:v>1</c:v>
                </c:pt>
                <c:pt idx="9">
                  <c:v>18</c:v>
                </c:pt>
              </c:numCache>
            </c:numRef>
          </c:val>
          <c:extLst>
            <c:ext xmlns:c15="http://schemas.microsoft.com/office/drawing/2012/chart" uri="{02D57815-91ED-43cb-92C2-25804820EDAC}">
              <c15:datalabelsRange>
                <c15:f>'Form responses 1-compiled'!$M$46:$M$55</c15:f>
                <c15:dlblRangeCache>
                  <c:ptCount val="10"/>
                  <c:pt idx="0">
                    <c:v>5%</c:v>
                  </c:pt>
                  <c:pt idx="1">
                    <c:v> </c:v>
                  </c:pt>
                  <c:pt idx="6">
                    <c:v>5%</c:v>
                  </c:pt>
                  <c:pt idx="7">
                    <c:v>5%</c:v>
                  </c:pt>
                  <c:pt idx="8">
                    <c:v>5%</c:v>
                  </c:pt>
                  <c:pt idx="9">
                    <c:v>82%</c:v>
                  </c:pt>
                </c15:dlblRangeCache>
              </c15:datalabelsRange>
            </c:ext>
            <c:ext xmlns:c16="http://schemas.microsoft.com/office/drawing/2014/chart" uri="{C3380CC4-5D6E-409C-BE32-E72D297353CC}">
              <c16:uniqueId val="{00000004-DAA2-4401-8CE9-FB62BC16E89F}"/>
            </c:ext>
          </c:extLst>
        </c:ser>
        <c:dLbls>
          <c:showLegendKey val="0"/>
          <c:showVal val="0"/>
          <c:showCatName val="0"/>
          <c:showSerName val="0"/>
          <c:showPercent val="0"/>
          <c:showBubbleSize val="0"/>
        </c:dLbls>
        <c:gapWidth val="219"/>
        <c:overlap val="-27"/>
        <c:axId val="972182048"/>
        <c:axId val="972187456"/>
        <c:extLst>
          <c:ext xmlns:c15="http://schemas.microsoft.com/office/drawing/2012/chart" uri="{02D57815-91ED-43cb-92C2-25804820EDAC}">
            <c15:filteredBarSeries>
              <c15:ser>
                <c:idx val="1"/>
                <c:order val="1"/>
                <c:tx>
                  <c:strRef>
                    <c:extLst>
                      <c:ext uri="{02D57815-91ED-43cb-92C2-25804820EDAC}">
                        <c15:formulaRef>
                          <c15:sqref>'Form responses 1-compiled'!$I$45</c15:sqref>
                        </c15:formulaRef>
                      </c:ext>
                    </c:extLst>
                    <c:strCache>
                      <c:ptCount val="1"/>
                      <c:pt idx="0">
                        <c:v>%</c:v>
                      </c:pt>
                    </c:strCache>
                  </c:strRef>
                </c:tx>
                <c:spPr>
                  <a:solidFill>
                    <a:schemeClr val="accent2"/>
                  </a:solidFill>
                  <a:ln>
                    <a:noFill/>
                  </a:ln>
                  <a:effectLst/>
                </c:spPr>
                <c:invertIfNegative val="0"/>
                <c:cat>
                  <c:numRef>
                    <c:extLst>
                      <c:ext uri="{02D57815-91ED-43cb-92C2-25804820EDAC}">
                        <c15:formulaRef>
                          <c15:sqref>'Form responses 1-compiled'!$G$46:$G$55</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c:ext uri="{02D57815-91ED-43cb-92C2-25804820EDAC}">
                        <c15:formulaRef>
                          <c15:sqref>'Form responses 1-compiled'!$I$46:$I$55</c15:sqref>
                        </c15:formulaRef>
                      </c:ext>
                    </c:extLst>
                    <c:numCache>
                      <c:formatCode>0%</c:formatCode>
                      <c:ptCount val="10"/>
                      <c:pt idx="0">
                        <c:v>4.5454545454545456E-2</c:v>
                      </c:pt>
                      <c:pt idx="1">
                        <c:v>0</c:v>
                      </c:pt>
                      <c:pt idx="2">
                        <c:v>4.5454545454545456E-2</c:v>
                      </c:pt>
                      <c:pt idx="3">
                        <c:v>0</c:v>
                      </c:pt>
                      <c:pt idx="4">
                        <c:v>4.5454545454545456E-2</c:v>
                      </c:pt>
                      <c:pt idx="5">
                        <c:v>4.5454545454545456E-2</c:v>
                      </c:pt>
                      <c:pt idx="6">
                        <c:v>4.5454545454545456E-2</c:v>
                      </c:pt>
                      <c:pt idx="7">
                        <c:v>9.0909090909090912E-2</c:v>
                      </c:pt>
                      <c:pt idx="8">
                        <c:v>4.5454545454545456E-2</c:v>
                      </c:pt>
                      <c:pt idx="9">
                        <c:v>0.63636363636363635</c:v>
                      </c:pt>
                    </c:numCache>
                  </c:numRef>
                </c:val>
                <c:extLst>
                  <c:ext xmlns:c16="http://schemas.microsoft.com/office/drawing/2014/chart" uri="{C3380CC4-5D6E-409C-BE32-E72D297353CC}">
                    <c16:uniqueId val="{00000001-DAA2-4401-8CE9-FB62BC16E89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'Form responses 1-compiled'!$K$45</c15:sqref>
                        </c15:formulaRef>
                      </c:ext>
                    </c:extLst>
                    <c:strCache>
                      <c:ptCount val="1"/>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'Form responses 1-compiled'!$G$46:$G$55</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xmlns:c15="http://schemas.microsoft.com/office/drawing/2012/chart">
                      <c:ext xmlns:c15="http://schemas.microsoft.com/office/drawing/2012/chart" uri="{02D57815-91ED-43cb-92C2-25804820EDAC}">
                        <c15:formulaRef>
                          <c15:sqref>'Form responses 1-compiled'!$K$46:$K$55</c15:sqref>
                        </c15:formulaRef>
                      </c:ext>
                    </c:extLst>
                    <c:numCache>
                      <c:formatCode>0%</c:formatCode>
                      <c:ptCount val="10"/>
                      <c:pt idx="0">
                        <c:v>4.5454545454545456E-2</c:v>
                      </c:pt>
                      <c:pt idx="1">
                        <c:v>0</c:v>
                      </c:pt>
                      <c:pt idx="2">
                        <c:v>0</c:v>
                      </c:pt>
                      <c:pt idx="3">
                        <c:v>4.5454545454545456E-2</c:v>
                      </c:pt>
                      <c:pt idx="4">
                        <c:v>0</c:v>
                      </c:pt>
                      <c:pt idx="5">
                        <c:v>0</c:v>
                      </c:pt>
                      <c:pt idx="6">
                        <c:v>0.13636363636363635</c:v>
                      </c:pt>
                      <c:pt idx="7">
                        <c:v>4.5454545454545456E-2</c:v>
                      </c:pt>
                      <c:pt idx="8">
                        <c:v>9.0909090909090912E-2</c:v>
                      </c:pt>
                      <c:pt idx="9">
                        <c:v>0.63636363636363635</c:v>
                      </c:pt>
                    </c:numCache>
                  </c:numRef>
                </c:val>
                <c:extLst xmlns:c15="http://schemas.microsoft.com/office/drawing/2012/chart">
                  <c:ext xmlns:c16="http://schemas.microsoft.com/office/drawing/2014/chart" uri="{C3380CC4-5D6E-409C-BE32-E72D297353CC}">
                    <c16:uniqueId val="{00000003-DAA2-4401-8CE9-FB62BC16E89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'Form responses 1-compiled'!$M$45</c15:sqref>
                        </c15:formulaRef>
                      </c:ext>
                    </c:extLst>
                    <c:strCache>
                      <c:ptCount val="1"/>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'Form responses 1-compiled'!$G$46:$G$55</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xmlns:c15="http://schemas.microsoft.com/office/drawing/2012/chart">
                      <c:ext xmlns:c15="http://schemas.microsoft.com/office/drawing/2012/chart" uri="{02D57815-91ED-43cb-92C2-25804820EDAC}">
                        <c15:formulaRef>
                          <c15:sqref>'Form responses 1-compiled'!$M$46:$M$55</c15:sqref>
                        </c15:formulaRef>
                      </c:ext>
                    </c:extLst>
                    <c:numCache>
                      <c:formatCode>0%</c:formatCode>
                      <c:ptCount val="10"/>
                      <c:pt idx="0">
                        <c:v>4.5454545454545456E-2</c:v>
                      </c:pt>
                      <c:pt idx="1">
                        <c:v>0</c:v>
                      </c:pt>
                      <c:pt idx="6">
                        <c:v>4.5454545454545456E-2</c:v>
                      </c:pt>
                      <c:pt idx="7">
                        <c:v>4.5454545454545456E-2</c:v>
                      </c:pt>
                      <c:pt idx="8">
                        <c:v>4.5454545454545456E-2</c:v>
                      </c:pt>
                      <c:pt idx="9">
                        <c:v>0.81818181818181823</c:v>
                      </c:pt>
                    </c:numCache>
                  </c:numRef>
                </c:val>
                <c:extLst xmlns:c15="http://schemas.microsoft.com/office/drawing/2012/chart">
                  <c:ext xmlns:c16="http://schemas.microsoft.com/office/drawing/2014/chart" uri="{C3380CC4-5D6E-409C-BE32-E72D297353CC}">
                    <c16:uniqueId val="{00000005-DAA2-4401-8CE9-FB62BC16E89F}"/>
                  </c:ext>
                </c:extLst>
              </c15:ser>
            </c15:filteredBarSeries>
          </c:ext>
        </c:extLst>
      </c:barChart>
      <c:catAx>
        <c:axId val="97218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a:t>
                </a:r>
                <a:r>
                  <a:rPr lang="en-US" baseline="0"/>
                  <a:t> 1-10 (1 very hard, 10 very easy)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87456"/>
        <c:crosses val="autoZero"/>
        <c:auto val="1"/>
        <c:lblAlgn val="ctr"/>
        <c:lblOffset val="100"/>
        <c:noMultiLvlLbl val="0"/>
      </c:catAx>
      <c:valAx>
        <c:axId val="97218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8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r>
              <a:rPr lang="en-US" sz="1050"/>
              <a:t>Q1.Did you find it easy to find the required buttons? </a:t>
            </a:r>
          </a:p>
          <a:p>
            <a:pPr algn="l">
              <a:defRPr sz="1050"/>
            </a:pPr>
            <a:r>
              <a:rPr lang="en-US" sz="1050"/>
              <a:t>Q2. Did you recognize different icons and labels?</a:t>
            </a:r>
          </a:p>
          <a:p>
            <a:pPr algn="l">
              <a:defRPr sz="1050"/>
            </a:pPr>
            <a:r>
              <a:rPr lang="en-US" sz="1050"/>
              <a:t>Q3. Text and colors were easy for the eyes? </a:t>
            </a:r>
          </a:p>
        </c:rich>
      </c:tx>
      <c:overlay val="0"/>
      <c:spPr>
        <a:noFill/>
        <a:ln>
          <a:noFill/>
        </a:ln>
        <a:effectLst/>
      </c:spPr>
      <c:txPr>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1-compiled'!$H$62</c:f>
              <c:strCache>
                <c:ptCount val="1"/>
                <c:pt idx="0">
                  <c:v>Q1. Ease of Usage</c:v>
                </c:pt>
              </c:strCache>
            </c:strRef>
          </c:tx>
          <c:spPr>
            <a:solidFill>
              <a:schemeClr val="accent1"/>
            </a:solidFill>
            <a:ln>
              <a:noFill/>
            </a:ln>
            <a:effectLst/>
          </c:spPr>
          <c:invertIfNegative val="0"/>
          <c:dLbls>
            <c:dLbl>
              <c:idx val="0"/>
              <c:tx>
                <c:rich>
                  <a:bodyPr/>
                  <a:lstStyle/>
                  <a:p>
                    <a:fld id="{3C571FA3-5B96-41BF-BACC-484991135680}"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29DF-4397-A978-B68615268D0A}"/>
                </c:ext>
              </c:extLst>
            </c:dLbl>
            <c:dLbl>
              <c:idx val="1"/>
              <c:tx>
                <c:rich>
                  <a:bodyPr/>
                  <a:lstStyle/>
                  <a:p>
                    <a:fld id="{504602BD-40C6-41C2-B3E0-F7C37F14CF41}"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9DF-4397-A978-B68615268D0A}"/>
                </c:ext>
              </c:extLst>
            </c:dLbl>
            <c:dLbl>
              <c:idx val="2"/>
              <c:tx>
                <c:rich>
                  <a:bodyPr/>
                  <a:lstStyle/>
                  <a:p>
                    <a:fld id="{A1491DF2-A400-4E4F-8AFE-C880D4DF877A}"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9DF-4397-A978-B68615268D0A}"/>
                </c:ext>
              </c:extLst>
            </c:dLbl>
            <c:dLbl>
              <c:idx val="3"/>
              <c:tx>
                <c:rich>
                  <a:bodyPr/>
                  <a:lstStyle/>
                  <a:p>
                    <a:fld id="{757657C2-55AA-4539-B554-4C3090183A7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29DF-4397-A978-B68615268D0A}"/>
                </c:ext>
              </c:extLst>
            </c:dLbl>
            <c:dLbl>
              <c:idx val="4"/>
              <c:tx>
                <c:rich>
                  <a:bodyPr/>
                  <a:lstStyle/>
                  <a:p>
                    <a:fld id="{0B7D992A-0D39-49F6-8A8D-540E3E679C1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9DF-4397-A978-B68615268D0A}"/>
                </c:ext>
              </c:extLst>
            </c:dLbl>
            <c:dLbl>
              <c:idx val="5"/>
              <c:tx>
                <c:rich>
                  <a:bodyPr/>
                  <a:lstStyle/>
                  <a:p>
                    <a:fld id="{94910CF2-04DF-4728-97E3-3EF114DAB1DC}"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9DF-4397-A978-B68615268D0A}"/>
                </c:ext>
              </c:extLst>
            </c:dLbl>
            <c:dLbl>
              <c:idx val="6"/>
              <c:tx>
                <c:rich>
                  <a:bodyPr/>
                  <a:lstStyle/>
                  <a:p>
                    <a:fld id="{823A8E26-4BA0-4817-B2F1-4F67085A9866}"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9DF-4397-A978-B68615268D0A}"/>
                </c:ext>
              </c:extLst>
            </c:dLbl>
            <c:dLbl>
              <c:idx val="7"/>
              <c:tx>
                <c:rich>
                  <a:bodyPr/>
                  <a:lstStyle/>
                  <a:p>
                    <a:fld id="{0E3E9142-DED8-441B-BE7E-6D0AEA2F4F95}"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9DF-4397-A978-B68615268D0A}"/>
                </c:ext>
              </c:extLst>
            </c:dLbl>
            <c:dLbl>
              <c:idx val="8"/>
              <c:tx>
                <c:rich>
                  <a:bodyPr/>
                  <a:lstStyle/>
                  <a:p>
                    <a:fld id="{15050CBF-041B-4AF0-B1E8-10E2500BE998}"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9DF-4397-A978-B68615268D0A}"/>
                </c:ext>
              </c:extLst>
            </c:dLbl>
            <c:dLbl>
              <c:idx val="9"/>
              <c:tx>
                <c:rich>
                  <a:bodyPr/>
                  <a:lstStyle/>
                  <a:p>
                    <a:fld id="{00C291D1-CDA8-4F1A-B1F4-C5822EBEB376}"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9DF-4397-A978-B68615268D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1-compiled'!$G$63:$G$72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1-compiled'!$H$63:$H$72</c:f>
              <c:numCache>
                <c:formatCode>General</c:formatCode>
                <c:ptCount val="10"/>
                <c:pt idx="0">
                  <c:v>0</c:v>
                </c:pt>
                <c:pt idx="1">
                  <c:v>0</c:v>
                </c:pt>
                <c:pt idx="2">
                  <c:v>1</c:v>
                </c:pt>
                <c:pt idx="3">
                  <c:v>0</c:v>
                </c:pt>
                <c:pt idx="4">
                  <c:v>3</c:v>
                </c:pt>
                <c:pt idx="5">
                  <c:v>1</c:v>
                </c:pt>
                <c:pt idx="6">
                  <c:v>1</c:v>
                </c:pt>
                <c:pt idx="7">
                  <c:v>3</c:v>
                </c:pt>
                <c:pt idx="8">
                  <c:v>2</c:v>
                </c:pt>
                <c:pt idx="9">
                  <c:v>11</c:v>
                </c:pt>
              </c:numCache>
            </c:numRef>
          </c:val>
          <c:extLst>
            <c:ext xmlns:c15="http://schemas.microsoft.com/office/drawing/2012/chart" uri="{02D57815-91ED-43cb-92C2-25804820EDAC}">
              <c15:datalabelsRange>
                <c15:f>'Form responses 1-compiled'!$I$63:$I$72</c15:f>
                <c15:dlblRangeCache>
                  <c:ptCount val="10"/>
                  <c:pt idx="2">
                    <c:v>5%</c:v>
                  </c:pt>
                  <c:pt idx="4">
                    <c:v>14%</c:v>
                  </c:pt>
                  <c:pt idx="5">
                    <c:v>5%</c:v>
                  </c:pt>
                  <c:pt idx="6">
                    <c:v>5%</c:v>
                  </c:pt>
                  <c:pt idx="7">
                    <c:v>14%</c:v>
                  </c:pt>
                  <c:pt idx="8">
                    <c:v>9%</c:v>
                  </c:pt>
                  <c:pt idx="9">
                    <c:v>50%</c:v>
                  </c:pt>
                </c15:dlblRangeCache>
              </c15:datalabelsRange>
            </c:ext>
            <c:ext xmlns:c16="http://schemas.microsoft.com/office/drawing/2014/chart" uri="{C3380CC4-5D6E-409C-BE32-E72D297353CC}">
              <c16:uniqueId val="{00000000-29DF-4397-A978-B68615268D0A}"/>
            </c:ext>
          </c:extLst>
        </c:ser>
        <c:ser>
          <c:idx val="2"/>
          <c:order val="2"/>
          <c:tx>
            <c:strRef>
              <c:f>'Form responses 1-compiled'!$J$62</c:f>
              <c:strCache>
                <c:ptCount val="1"/>
                <c:pt idx="0">
                  <c:v>Q2. Ease of Usage</c:v>
                </c:pt>
              </c:strCache>
            </c:strRef>
          </c:tx>
          <c:spPr>
            <a:solidFill>
              <a:schemeClr val="accent3"/>
            </a:solidFill>
            <a:ln>
              <a:noFill/>
            </a:ln>
            <a:effectLst/>
          </c:spPr>
          <c:invertIfNegative val="0"/>
          <c:dLbls>
            <c:dLbl>
              <c:idx val="0"/>
              <c:tx>
                <c:rich>
                  <a:bodyPr/>
                  <a:lstStyle/>
                  <a:p>
                    <a:fld id="{55A5CAE5-15B3-4DCF-8E38-BFA708B0E431}"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29DF-4397-A978-B68615268D0A}"/>
                </c:ext>
              </c:extLst>
            </c:dLbl>
            <c:dLbl>
              <c:idx val="1"/>
              <c:tx>
                <c:rich>
                  <a:bodyPr/>
                  <a:lstStyle/>
                  <a:p>
                    <a:fld id="{E7C82C35-858C-473D-A84E-3E9180AE8027}"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29DF-4397-A978-B68615268D0A}"/>
                </c:ext>
              </c:extLst>
            </c:dLbl>
            <c:dLbl>
              <c:idx val="2"/>
              <c:tx>
                <c:rich>
                  <a:bodyPr/>
                  <a:lstStyle/>
                  <a:p>
                    <a:fld id="{947184D2-63D5-4B05-9AAF-9538F9575FCB}"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29DF-4397-A978-B68615268D0A}"/>
                </c:ext>
              </c:extLst>
            </c:dLbl>
            <c:dLbl>
              <c:idx val="3"/>
              <c:tx>
                <c:rich>
                  <a:bodyPr/>
                  <a:lstStyle/>
                  <a:p>
                    <a:fld id="{1A723256-6D6F-4EC8-8BB7-D25242CB2B0B}"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9DF-4397-A978-B68615268D0A}"/>
                </c:ext>
              </c:extLst>
            </c:dLbl>
            <c:dLbl>
              <c:idx val="4"/>
              <c:tx>
                <c:rich>
                  <a:bodyPr/>
                  <a:lstStyle/>
                  <a:p>
                    <a:fld id="{9E807680-2C12-4C38-82A7-850D0B31EF9A}"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29DF-4397-A978-B68615268D0A}"/>
                </c:ext>
              </c:extLst>
            </c:dLbl>
            <c:dLbl>
              <c:idx val="5"/>
              <c:tx>
                <c:rich>
                  <a:bodyPr/>
                  <a:lstStyle/>
                  <a:p>
                    <a:fld id="{F0F9163B-5147-474E-9CA5-263815DEFDDE}"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9DF-4397-A978-B68615268D0A}"/>
                </c:ext>
              </c:extLst>
            </c:dLbl>
            <c:dLbl>
              <c:idx val="6"/>
              <c:tx>
                <c:rich>
                  <a:bodyPr/>
                  <a:lstStyle/>
                  <a:p>
                    <a:fld id="{4AF15DC8-873F-4625-8812-B88EB6A266BE}"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9DF-4397-A978-B68615268D0A}"/>
                </c:ext>
              </c:extLst>
            </c:dLbl>
            <c:dLbl>
              <c:idx val="7"/>
              <c:tx>
                <c:rich>
                  <a:bodyPr/>
                  <a:lstStyle/>
                  <a:p>
                    <a:fld id="{F9CDFF9E-4F63-4923-B8BD-EE6FBC91AD92}"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9DF-4397-A978-B68615268D0A}"/>
                </c:ext>
              </c:extLst>
            </c:dLbl>
            <c:dLbl>
              <c:idx val="8"/>
              <c:tx>
                <c:rich>
                  <a:bodyPr/>
                  <a:lstStyle/>
                  <a:p>
                    <a:fld id="{5EC945F1-A093-44D4-909B-6021A7A76A67}"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9DF-4397-A978-B68615268D0A}"/>
                </c:ext>
              </c:extLst>
            </c:dLbl>
            <c:dLbl>
              <c:idx val="9"/>
              <c:tx>
                <c:rich>
                  <a:bodyPr/>
                  <a:lstStyle/>
                  <a:p>
                    <a:fld id="{83D460AF-5C07-4637-BB4D-5505F84E917F}"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9DF-4397-A978-B68615268D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1-compiled'!$G$63:$G$72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1-compiled'!$J$63:$J$72</c:f>
              <c:numCache>
                <c:formatCode>General</c:formatCode>
                <c:ptCount val="10"/>
                <c:pt idx="0">
                  <c:v>0</c:v>
                </c:pt>
                <c:pt idx="1">
                  <c:v>0</c:v>
                </c:pt>
                <c:pt idx="2">
                  <c:v>0</c:v>
                </c:pt>
                <c:pt idx="3">
                  <c:v>1</c:v>
                </c:pt>
                <c:pt idx="4">
                  <c:v>0</c:v>
                </c:pt>
                <c:pt idx="5">
                  <c:v>2</c:v>
                </c:pt>
                <c:pt idx="6">
                  <c:v>2</c:v>
                </c:pt>
                <c:pt idx="7">
                  <c:v>0</c:v>
                </c:pt>
                <c:pt idx="8">
                  <c:v>1</c:v>
                </c:pt>
                <c:pt idx="9">
                  <c:v>16</c:v>
                </c:pt>
              </c:numCache>
            </c:numRef>
          </c:val>
          <c:extLst>
            <c:ext xmlns:c15="http://schemas.microsoft.com/office/drawing/2012/chart" uri="{02D57815-91ED-43cb-92C2-25804820EDAC}">
              <c15:datalabelsRange>
                <c15:f>'Form responses 1-compiled'!$K$63:$K$72</c15:f>
                <c15:dlblRangeCache>
                  <c:ptCount val="10"/>
                  <c:pt idx="3">
                    <c:v>5%</c:v>
                  </c:pt>
                  <c:pt idx="5">
                    <c:v>9%</c:v>
                  </c:pt>
                  <c:pt idx="6">
                    <c:v>9%</c:v>
                  </c:pt>
                  <c:pt idx="8">
                    <c:v>5%</c:v>
                  </c:pt>
                  <c:pt idx="9">
                    <c:v>73%</c:v>
                  </c:pt>
                </c15:dlblRangeCache>
              </c15:datalabelsRange>
            </c:ext>
            <c:ext xmlns:c16="http://schemas.microsoft.com/office/drawing/2014/chart" uri="{C3380CC4-5D6E-409C-BE32-E72D297353CC}">
              <c16:uniqueId val="{00000002-29DF-4397-A978-B68615268D0A}"/>
            </c:ext>
          </c:extLst>
        </c:ser>
        <c:ser>
          <c:idx val="4"/>
          <c:order val="4"/>
          <c:tx>
            <c:strRef>
              <c:f>'Form responses 1-compiled'!$L$62</c:f>
              <c:strCache>
                <c:ptCount val="1"/>
                <c:pt idx="0">
                  <c:v>Q3. Texts and Colors</c:v>
                </c:pt>
              </c:strCache>
            </c:strRef>
          </c:tx>
          <c:spPr>
            <a:solidFill>
              <a:schemeClr val="accent5"/>
            </a:solidFill>
            <a:ln>
              <a:noFill/>
            </a:ln>
            <a:effectLst/>
          </c:spPr>
          <c:invertIfNegative val="0"/>
          <c:dLbls>
            <c:dLbl>
              <c:idx val="0"/>
              <c:tx>
                <c:rich>
                  <a:bodyPr/>
                  <a:lstStyle/>
                  <a:p>
                    <a:fld id="{EE2551E5-698A-493B-B709-DECF4D53FEC6}" type="CELLRANGE">
                      <a:rPr lang="en-US"/>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9DF-4397-A978-B68615268D0A}"/>
                </c:ext>
              </c:extLst>
            </c:dLbl>
            <c:dLbl>
              <c:idx val="1"/>
              <c:tx>
                <c:rich>
                  <a:bodyPr/>
                  <a:lstStyle/>
                  <a:p>
                    <a:fld id="{C89A3B8B-7339-40AA-AD03-784CB1B51A15}"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9DF-4397-A978-B68615268D0A}"/>
                </c:ext>
              </c:extLst>
            </c:dLbl>
            <c:dLbl>
              <c:idx val="2"/>
              <c:tx>
                <c:rich>
                  <a:bodyPr/>
                  <a:lstStyle/>
                  <a:p>
                    <a:fld id="{B4C02803-3918-4E63-809F-00307B8B415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9DF-4397-A978-B68615268D0A}"/>
                </c:ext>
              </c:extLst>
            </c:dLbl>
            <c:dLbl>
              <c:idx val="3"/>
              <c:tx>
                <c:rich>
                  <a:bodyPr/>
                  <a:lstStyle/>
                  <a:p>
                    <a:fld id="{45345F6B-C085-4F1C-9C57-AAB36D2E0882}"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9DF-4397-A978-B68615268D0A}"/>
                </c:ext>
              </c:extLst>
            </c:dLbl>
            <c:dLbl>
              <c:idx val="4"/>
              <c:tx>
                <c:rich>
                  <a:bodyPr/>
                  <a:lstStyle/>
                  <a:p>
                    <a:fld id="{A0664D67-2EE5-4317-AAB1-98A29CE8ACDD}"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9DF-4397-A978-B68615268D0A}"/>
                </c:ext>
              </c:extLst>
            </c:dLbl>
            <c:dLbl>
              <c:idx val="5"/>
              <c:tx>
                <c:rich>
                  <a:bodyPr/>
                  <a:lstStyle/>
                  <a:p>
                    <a:fld id="{AD8C580F-65DB-4007-A523-C19AAD9C64D2}"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29DF-4397-A978-B68615268D0A}"/>
                </c:ext>
              </c:extLst>
            </c:dLbl>
            <c:dLbl>
              <c:idx val="6"/>
              <c:tx>
                <c:rich>
                  <a:bodyPr/>
                  <a:lstStyle/>
                  <a:p>
                    <a:fld id="{74955C11-5734-4C7B-BF88-FC870F4CA748}"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9DF-4397-A978-B68615268D0A}"/>
                </c:ext>
              </c:extLst>
            </c:dLbl>
            <c:dLbl>
              <c:idx val="7"/>
              <c:tx>
                <c:rich>
                  <a:bodyPr/>
                  <a:lstStyle/>
                  <a:p>
                    <a:fld id="{20A6F8C6-8200-4C56-AD6E-BEB89C74ACE3}"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9DF-4397-A978-B68615268D0A}"/>
                </c:ext>
              </c:extLst>
            </c:dLbl>
            <c:dLbl>
              <c:idx val="8"/>
              <c:tx>
                <c:rich>
                  <a:bodyPr/>
                  <a:lstStyle/>
                  <a:p>
                    <a:fld id="{C29AA6D0-86BC-4D6D-8C39-8D36BAC8D139}"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29DF-4397-A978-B68615268D0A}"/>
                </c:ext>
              </c:extLst>
            </c:dLbl>
            <c:dLbl>
              <c:idx val="9"/>
              <c:tx>
                <c:rich>
                  <a:bodyPr/>
                  <a:lstStyle/>
                  <a:p>
                    <a:fld id="{0291630D-48B6-4CF0-BD7A-163A2F3F7B7E}" type="CELLRANGE">
                      <a:rPr lang="en-AE"/>
                      <a:pPr/>
                      <a:t>[CELLRANGE]</a:t>
                    </a:fld>
                    <a:endParaRPr lang="en-A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9DF-4397-A978-B68615268D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1-compiled'!$G$63:$G$72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1-compiled'!$L$63:$L$72</c:f>
              <c:numCache>
                <c:formatCode>General</c:formatCode>
                <c:ptCount val="10"/>
                <c:pt idx="0">
                  <c:v>0</c:v>
                </c:pt>
                <c:pt idx="1">
                  <c:v>1</c:v>
                </c:pt>
                <c:pt idx="2">
                  <c:v>0</c:v>
                </c:pt>
                <c:pt idx="3">
                  <c:v>0</c:v>
                </c:pt>
                <c:pt idx="4">
                  <c:v>3</c:v>
                </c:pt>
                <c:pt idx="5">
                  <c:v>0</c:v>
                </c:pt>
                <c:pt idx="6">
                  <c:v>3</c:v>
                </c:pt>
                <c:pt idx="7">
                  <c:v>4</c:v>
                </c:pt>
                <c:pt idx="8">
                  <c:v>0</c:v>
                </c:pt>
                <c:pt idx="9">
                  <c:v>11</c:v>
                </c:pt>
              </c:numCache>
            </c:numRef>
          </c:val>
          <c:extLst>
            <c:ext xmlns:c15="http://schemas.microsoft.com/office/drawing/2012/chart" uri="{02D57815-91ED-43cb-92C2-25804820EDAC}">
              <c15:datalabelsRange>
                <c15:f>'Form responses 1-compiled'!$M$63:$M$72</c15:f>
                <c15:dlblRangeCache>
                  <c:ptCount val="10"/>
                  <c:pt idx="0">
                    <c:v> </c:v>
                  </c:pt>
                  <c:pt idx="1">
                    <c:v>5%</c:v>
                  </c:pt>
                  <c:pt idx="4">
                    <c:v>14%</c:v>
                  </c:pt>
                  <c:pt idx="6">
                    <c:v>14%</c:v>
                  </c:pt>
                  <c:pt idx="7">
                    <c:v>18%</c:v>
                  </c:pt>
                  <c:pt idx="9">
                    <c:v>50%</c:v>
                  </c:pt>
                </c15:dlblRangeCache>
              </c15:datalabelsRange>
            </c:ext>
            <c:ext xmlns:c16="http://schemas.microsoft.com/office/drawing/2014/chart" uri="{C3380CC4-5D6E-409C-BE32-E72D297353CC}">
              <c16:uniqueId val="{00000004-29DF-4397-A978-B68615268D0A}"/>
            </c:ext>
          </c:extLst>
        </c:ser>
        <c:dLbls>
          <c:showLegendKey val="0"/>
          <c:showVal val="0"/>
          <c:showCatName val="0"/>
          <c:showSerName val="0"/>
          <c:showPercent val="0"/>
          <c:showBubbleSize val="0"/>
        </c:dLbls>
        <c:gapWidth val="219"/>
        <c:overlap val="-27"/>
        <c:axId val="926969616"/>
        <c:axId val="926966288"/>
        <c:extLst>
          <c:ext xmlns:c15="http://schemas.microsoft.com/office/drawing/2012/chart" uri="{02D57815-91ED-43cb-92C2-25804820EDAC}">
            <c15:filteredBarSeries>
              <c15:ser>
                <c:idx val="1"/>
                <c:order val="1"/>
                <c:tx>
                  <c:strRef>
                    <c:extLst>
                      <c:ext uri="{02D57815-91ED-43cb-92C2-25804820EDAC}">
                        <c15:formulaRef>
                          <c15:sqref>'Form responses 1-compiled'!$I$62</c15:sqref>
                        </c15:formulaRef>
                      </c:ext>
                    </c:extLst>
                    <c:strCache>
                      <c:ptCount val="1"/>
                      <c:pt idx="0">
                        <c:v>%</c:v>
                      </c:pt>
                    </c:strCache>
                  </c:strRef>
                </c:tx>
                <c:spPr>
                  <a:solidFill>
                    <a:schemeClr val="accent2"/>
                  </a:solidFill>
                  <a:ln>
                    <a:noFill/>
                  </a:ln>
                  <a:effectLst/>
                </c:spPr>
                <c:invertIfNegative val="0"/>
                <c:cat>
                  <c:numRef>
                    <c:extLst>
                      <c:ext uri="{02D57815-91ED-43cb-92C2-25804820EDAC}">
                        <c15:formulaRef>
                          <c15:sqref>'Form responses 1-compiled'!$G$63:$G$72</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c:ext uri="{02D57815-91ED-43cb-92C2-25804820EDAC}">
                        <c15:formulaRef>
                          <c15:sqref>'Form responses 1-compiled'!$I$63:$I$72</c15:sqref>
                        </c15:formulaRef>
                      </c:ext>
                    </c:extLst>
                    <c:numCache>
                      <c:formatCode>0%</c:formatCode>
                      <c:ptCount val="10"/>
                      <c:pt idx="2">
                        <c:v>4.5454545454545456E-2</c:v>
                      </c:pt>
                      <c:pt idx="4">
                        <c:v>0.13636363636363635</c:v>
                      </c:pt>
                      <c:pt idx="5">
                        <c:v>4.5454545454545456E-2</c:v>
                      </c:pt>
                      <c:pt idx="6">
                        <c:v>4.5454545454545456E-2</c:v>
                      </c:pt>
                      <c:pt idx="7">
                        <c:v>0.13636363636363635</c:v>
                      </c:pt>
                      <c:pt idx="8">
                        <c:v>9.0909090909090912E-2</c:v>
                      </c:pt>
                      <c:pt idx="9">
                        <c:v>0.5</c:v>
                      </c:pt>
                    </c:numCache>
                  </c:numRef>
                </c:val>
                <c:extLst>
                  <c:ext xmlns:c16="http://schemas.microsoft.com/office/drawing/2014/chart" uri="{C3380CC4-5D6E-409C-BE32-E72D297353CC}">
                    <c16:uniqueId val="{00000001-29DF-4397-A978-B68615268D0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'Form responses 1-compiled'!$K$62</c15:sqref>
                        </c15:formulaRef>
                      </c:ext>
                    </c:extLst>
                    <c:strCache>
                      <c:ptCount val="1"/>
                      <c:pt idx="0">
                        <c:v>%</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'Form responses 1-compiled'!$G$63:$G$72</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xmlns:c15="http://schemas.microsoft.com/office/drawing/2012/chart">
                      <c:ext xmlns:c15="http://schemas.microsoft.com/office/drawing/2012/chart" uri="{02D57815-91ED-43cb-92C2-25804820EDAC}">
                        <c15:formulaRef>
                          <c15:sqref>'Form responses 1-compiled'!$K$63:$K$72</c15:sqref>
                        </c15:formulaRef>
                      </c:ext>
                    </c:extLst>
                    <c:numCache>
                      <c:formatCode>0%</c:formatCode>
                      <c:ptCount val="10"/>
                      <c:pt idx="3">
                        <c:v>4.5454545454545456E-2</c:v>
                      </c:pt>
                      <c:pt idx="5">
                        <c:v>9.0909090909090912E-2</c:v>
                      </c:pt>
                      <c:pt idx="6">
                        <c:v>9.0909090909090912E-2</c:v>
                      </c:pt>
                      <c:pt idx="8">
                        <c:v>4.5454545454545456E-2</c:v>
                      </c:pt>
                      <c:pt idx="9">
                        <c:v>0.72727272727272729</c:v>
                      </c:pt>
                    </c:numCache>
                  </c:numRef>
                </c:val>
                <c:extLst xmlns:c15="http://schemas.microsoft.com/office/drawing/2012/chart">
                  <c:ext xmlns:c16="http://schemas.microsoft.com/office/drawing/2014/chart" uri="{C3380CC4-5D6E-409C-BE32-E72D297353CC}">
                    <c16:uniqueId val="{00000003-29DF-4397-A978-B68615268D0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'Form responses 1-compiled'!$M$62</c15:sqref>
                        </c15:formulaRef>
                      </c:ext>
                    </c:extLst>
                    <c:strCache>
                      <c:ptCount val="1"/>
                      <c:pt idx="0">
                        <c:v>%</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'Form responses 1-compiled'!$G$63:$G$72</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extLst xmlns:c15="http://schemas.microsoft.com/office/drawing/2012/chart">
                      <c:ext xmlns:c15="http://schemas.microsoft.com/office/drawing/2012/chart" uri="{02D57815-91ED-43cb-92C2-25804820EDAC}">
                        <c15:formulaRef>
                          <c15:sqref>'Form responses 1-compiled'!$M$63:$M$72</c15:sqref>
                        </c15:formulaRef>
                      </c:ext>
                    </c:extLst>
                    <c:numCache>
                      <c:formatCode>0%</c:formatCode>
                      <c:ptCount val="10"/>
                      <c:pt idx="0">
                        <c:v>0</c:v>
                      </c:pt>
                      <c:pt idx="1">
                        <c:v>4.5454545454545456E-2</c:v>
                      </c:pt>
                      <c:pt idx="4">
                        <c:v>0.13636363636363635</c:v>
                      </c:pt>
                      <c:pt idx="6">
                        <c:v>0.13636363636363635</c:v>
                      </c:pt>
                      <c:pt idx="7">
                        <c:v>0.18181818181818182</c:v>
                      </c:pt>
                      <c:pt idx="9">
                        <c:v>0.5</c:v>
                      </c:pt>
                    </c:numCache>
                  </c:numRef>
                </c:val>
                <c:extLst xmlns:c15="http://schemas.microsoft.com/office/drawing/2012/chart">
                  <c:ext xmlns:c16="http://schemas.microsoft.com/office/drawing/2014/chart" uri="{C3380CC4-5D6E-409C-BE32-E72D297353CC}">
                    <c16:uniqueId val="{00000005-29DF-4397-A978-B68615268D0A}"/>
                  </c:ext>
                </c:extLst>
              </c15:ser>
            </c15:filteredBarSeries>
          </c:ext>
        </c:extLst>
      </c:barChart>
      <c:catAx>
        <c:axId val="92696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Response</a:t>
                </a:r>
                <a:r>
                  <a:rPr lang="en-US" baseline="0"/>
                  <a:t> 1-10 (1 very hard, 10 very easy)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66288"/>
        <c:crosses val="autoZero"/>
        <c:auto val="1"/>
        <c:lblAlgn val="ctr"/>
        <c:lblOffset val="100"/>
        <c:noMultiLvlLbl val="0"/>
      </c:catAx>
      <c:valAx>
        <c:axId val="92696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6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Q12. You found the gamification functions fun and encouraged competitive behavior</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1-compiled'!$H$79</c:f>
              <c:strCache>
                <c:ptCount val="1"/>
                <c:pt idx="0">
                  <c:v>Q12. Satisfaction and Gamification</c:v>
                </c:pt>
              </c:strCache>
            </c:strRef>
          </c:tx>
          <c:spPr>
            <a:solidFill>
              <a:schemeClr val="accent1"/>
            </a:solidFill>
            <a:ln>
              <a:noFill/>
            </a:ln>
            <a:effectLst/>
          </c:spPr>
          <c:invertIfNegative val="0"/>
          <c:dLbls>
            <c:dLbl>
              <c:idx val="0"/>
              <c:tx>
                <c:rich>
                  <a:bodyPr/>
                  <a:lstStyle/>
                  <a:p>
                    <a:fld id="{C3FE83B0-738F-4014-9F6D-7F31B46B0526}" type="CELLRANGE">
                      <a:rPr lang="en-US"/>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C66-4806-9F83-02A6EC53C1A9}"/>
                </c:ext>
              </c:extLst>
            </c:dLbl>
            <c:dLbl>
              <c:idx val="1"/>
              <c:tx>
                <c:rich>
                  <a:bodyPr/>
                  <a:lstStyle/>
                  <a:p>
                    <a:fld id="{3DC6B02B-3D6C-48A2-AC20-C13BA8E5C229}"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C66-4806-9F83-02A6EC53C1A9}"/>
                </c:ext>
              </c:extLst>
            </c:dLbl>
            <c:dLbl>
              <c:idx val="2"/>
              <c:tx>
                <c:rich>
                  <a:bodyPr/>
                  <a:lstStyle/>
                  <a:p>
                    <a:fld id="{F01B4AF6-BA8D-4A06-8328-A0B70AB8C4CC}"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C66-4806-9F83-02A6EC53C1A9}"/>
                </c:ext>
              </c:extLst>
            </c:dLbl>
            <c:dLbl>
              <c:idx val="3"/>
              <c:tx>
                <c:rich>
                  <a:bodyPr/>
                  <a:lstStyle/>
                  <a:p>
                    <a:fld id="{5B1110D3-9798-4646-8E6B-56D5CB4901BA}"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C66-4806-9F83-02A6EC53C1A9}"/>
                </c:ext>
              </c:extLst>
            </c:dLbl>
            <c:dLbl>
              <c:idx val="4"/>
              <c:tx>
                <c:rich>
                  <a:bodyPr/>
                  <a:lstStyle/>
                  <a:p>
                    <a:fld id="{75DF9E22-916E-4C3E-8073-B2D1AE0B0DAB}"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C66-4806-9F83-02A6EC53C1A9}"/>
                </c:ext>
              </c:extLst>
            </c:dLbl>
            <c:dLbl>
              <c:idx val="5"/>
              <c:tx>
                <c:rich>
                  <a:bodyPr/>
                  <a:lstStyle/>
                  <a:p>
                    <a:fld id="{B413B5C0-6B75-481B-9071-02649D8A34EE}"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C66-4806-9F83-02A6EC53C1A9}"/>
                </c:ext>
              </c:extLst>
            </c:dLbl>
            <c:dLbl>
              <c:idx val="6"/>
              <c:tx>
                <c:rich>
                  <a:bodyPr/>
                  <a:lstStyle/>
                  <a:p>
                    <a:fld id="{4BEC489A-F6C0-481A-8166-49EBF9B5C0DE}"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C66-4806-9F83-02A6EC53C1A9}"/>
                </c:ext>
              </c:extLst>
            </c:dLbl>
            <c:dLbl>
              <c:idx val="7"/>
              <c:tx>
                <c:rich>
                  <a:bodyPr/>
                  <a:lstStyle/>
                  <a:p>
                    <a:fld id="{2F1B6BF1-D393-4AC4-B498-CC8AD403FD38}"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C66-4806-9F83-02A6EC53C1A9}"/>
                </c:ext>
              </c:extLst>
            </c:dLbl>
            <c:dLbl>
              <c:idx val="8"/>
              <c:tx>
                <c:rich>
                  <a:bodyPr/>
                  <a:lstStyle/>
                  <a:p>
                    <a:fld id="{4A1E0E87-B73E-476A-A0BB-B01D2D5A6A38}"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C66-4806-9F83-02A6EC53C1A9}"/>
                </c:ext>
              </c:extLst>
            </c:dLbl>
            <c:dLbl>
              <c:idx val="9"/>
              <c:tx>
                <c:rich>
                  <a:bodyPr/>
                  <a:lstStyle/>
                  <a:p>
                    <a:fld id="{DFCBBEF7-0FE5-4DCC-8EF8-81C539D479B4}" type="CELLRANGE">
                      <a:rPr lang="en-AE"/>
                      <a:pPr/>
                      <a:t>[CELLRANGE]</a:t>
                    </a:fld>
                    <a:endParaRPr lang="en-A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C66-4806-9F83-02A6EC53C1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'Form responses 1-compiled'!$G$80:$G$89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'Form responses 1-compiled'!$H$80:$H$89</c:f>
              <c:numCache>
                <c:formatCode>General</c:formatCode>
                <c:ptCount val="10"/>
                <c:pt idx="0">
                  <c:v>0</c:v>
                </c:pt>
                <c:pt idx="1">
                  <c:v>0</c:v>
                </c:pt>
                <c:pt idx="2">
                  <c:v>0</c:v>
                </c:pt>
                <c:pt idx="3">
                  <c:v>1</c:v>
                </c:pt>
                <c:pt idx="4">
                  <c:v>0</c:v>
                </c:pt>
                <c:pt idx="5">
                  <c:v>0</c:v>
                </c:pt>
                <c:pt idx="6">
                  <c:v>0</c:v>
                </c:pt>
                <c:pt idx="7">
                  <c:v>1</c:v>
                </c:pt>
                <c:pt idx="8">
                  <c:v>0</c:v>
                </c:pt>
                <c:pt idx="9">
                  <c:v>20</c:v>
                </c:pt>
              </c:numCache>
            </c:numRef>
          </c:val>
          <c:extLst>
            <c:ext xmlns:c15="http://schemas.microsoft.com/office/drawing/2012/chart" uri="{02D57815-91ED-43cb-92C2-25804820EDAC}">
              <c15:datalabelsRange>
                <c15:f>'Form responses 1-compiled'!$I$80:$I$89</c15:f>
                <c15:dlblRangeCache>
                  <c:ptCount val="10"/>
                  <c:pt idx="3">
                    <c:v>5%</c:v>
                  </c:pt>
                  <c:pt idx="7">
                    <c:v>5%</c:v>
                  </c:pt>
                  <c:pt idx="9">
                    <c:v>91%</c:v>
                  </c:pt>
                </c15:dlblRangeCache>
              </c15:datalabelsRange>
            </c:ext>
            <c:ext xmlns:c16="http://schemas.microsoft.com/office/drawing/2014/chart" uri="{C3380CC4-5D6E-409C-BE32-E72D297353CC}">
              <c16:uniqueId val="{00000000-2C66-4806-9F83-02A6EC53C1A9}"/>
            </c:ext>
          </c:extLst>
        </c:ser>
        <c:dLbls>
          <c:showLegendKey val="0"/>
          <c:showVal val="0"/>
          <c:showCatName val="0"/>
          <c:showSerName val="0"/>
          <c:showPercent val="0"/>
          <c:showBubbleSize val="0"/>
        </c:dLbls>
        <c:gapWidth val="219"/>
        <c:overlap val="-27"/>
        <c:axId val="400501408"/>
        <c:axId val="400902368"/>
      </c:barChart>
      <c:catAx>
        <c:axId val="40050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Responese</a:t>
                </a:r>
                <a:r>
                  <a:rPr lang="en-US" baseline="0"/>
                  <a:t> 1-10 (1 not interested and 10 very encouraging)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02368"/>
        <c:crosses val="autoZero"/>
        <c:auto val="1"/>
        <c:lblAlgn val="ctr"/>
        <c:lblOffset val="100"/>
        <c:noMultiLvlLbl val="0"/>
      </c:catAx>
      <c:valAx>
        <c:axId val="40090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responses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0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1142999</xdr:colOff>
      <xdr:row>29</xdr:row>
      <xdr:rowOff>38099</xdr:rowOff>
    </xdr:from>
    <xdr:to>
      <xdr:col>6</xdr:col>
      <xdr:colOff>647701</xdr:colOff>
      <xdr:row>43</xdr:row>
      <xdr:rowOff>104774</xdr:rowOff>
    </xdr:to>
    <xdr:graphicFrame macro="">
      <xdr:nvGraphicFramePr>
        <xdr:cNvPr id="2" name="Chart 1">
          <a:extLst>
            <a:ext uri="{FF2B5EF4-FFF2-40B4-BE49-F238E27FC236}">
              <a16:creationId xmlns:a16="http://schemas.microsoft.com/office/drawing/2014/main" id="{74CCBE19-94E6-49D9-B7BF-7EA7DC035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347662</xdr:colOff>
      <xdr:row>45</xdr:row>
      <xdr:rowOff>28575</xdr:rowOff>
    </xdr:from>
    <xdr:to>
      <xdr:col>6</xdr:col>
      <xdr:colOff>952500</xdr:colOff>
      <xdr:row>58</xdr:row>
      <xdr:rowOff>171450</xdr:rowOff>
    </xdr:to>
    <xdr:graphicFrame macro="">
      <xdr:nvGraphicFramePr>
        <xdr:cNvPr id="4" name="Chart 3">
          <a:extLst>
            <a:ext uri="{FF2B5EF4-FFF2-40B4-BE49-F238E27FC236}">
              <a16:creationId xmlns:a16="http://schemas.microsoft.com/office/drawing/2014/main" id="{98CE91E4-7E91-4399-8AD7-0CDBB2C05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60</xdr:row>
      <xdr:rowOff>47625</xdr:rowOff>
    </xdr:from>
    <xdr:to>
      <xdr:col>6</xdr:col>
      <xdr:colOff>809625</xdr:colOff>
      <xdr:row>73</xdr:row>
      <xdr:rowOff>190500</xdr:rowOff>
    </xdr:to>
    <xdr:graphicFrame macro="">
      <xdr:nvGraphicFramePr>
        <xdr:cNvPr id="6" name="Chart 5">
          <a:extLst>
            <a:ext uri="{FF2B5EF4-FFF2-40B4-BE49-F238E27FC236}">
              <a16:creationId xmlns:a16="http://schemas.microsoft.com/office/drawing/2014/main" id="{98929745-6F44-48AB-B4A4-B98325F3B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577850</xdr:colOff>
      <xdr:row>75</xdr:row>
      <xdr:rowOff>107950</xdr:rowOff>
    </xdr:from>
    <xdr:to>
      <xdr:col>8</xdr:col>
      <xdr:colOff>349249</xdr:colOff>
      <xdr:row>89</xdr:row>
      <xdr:rowOff>95250</xdr:rowOff>
    </xdr:to>
    <xdr:graphicFrame macro="">
      <xdr:nvGraphicFramePr>
        <xdr:cNvPr id="3" name="Chart 2">
          <a:extLst>
            <a:ext uri="{FF2B5EF4-FFF2-40B4-BE49-F238E27FC236}">
              <a16:creationId xmlns:a16="http://schemas.microsoft.com/office/drawing/2014/main" id="{35AF38B4-E030-443A-AF80-7AEC43AB4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D748-E0E4-48C1-AFB2-EB29BF193C9A}">
  <sheetPr>
    <outlinePr summaryBelow="0" summaryRight="0"/>
  </sheetPr>
  <dimension ref="A1:AR89"/>
  <sheetViews>
    <sheetView topLeftCell="C1" workbookViewId="0">
      <selection activeCell="J88" sqref="J88"/>
    </sheetView>
  </sheetViews>
  <sheetFormatPr defaultColWidth="12.54296875" defaultRowHeight="15.75" customHeight="1" x14ac:dyDescent="0.25"/>
  <cols>
    <col min="1" max="28" width="18.81640625" customWidth="1"/>
    <col min="29" max="30" width="8.81640625" customWidth="1"/>
    <col min="31" max="31" width="18.81640625" customWidth="1"/>
    <col min="32" max="32" width="26.1796875" customWidth="1"/>
    <col min="33" max="34" width="9.81640625" customWidth="1"/>
    <col min="35" max="49" width="18.81640625" customWidth="1"/>
  </cols>
  <sheetData>
    <row r="1" spans="1:44" s="14" customFormat="1" ht="15.75" customHeight="1" x14ac:dyDescent="0.25">
      <c r="B1" s="14" t="s">
        <v>177</v>
      </c>
      <c r="D1" s="14" t="s">
        <v>178</v>
      </c>
      <c r="F1" s="14" t="s">
        <v>179</v>
      </c>
      <c r="H1" s="14" t="s">
        <v>180</v>
      </c>
      <c r="J1" s="14" t="s">
        <v>194</v>
      </c>
      <c r="L1" s="14" t="s">
        <v>195</v>
      </c>
      <c r="N1" s="14" t="s">
        <v>196</v>
      </c>
      <c r="P1" s="14" t="s">
        <v>197</v>
      </c>
      <c r="R1" s="14" t="s">
        <v>198</v>
      </c>
      <c r="S1" s="14" t="s">
        <v>199</v>
      </c>
      <c r="U1" s="14" t="s">
        <v>200</v>
      </c>
      <c r="W1" s="14" t="s">
        <v>201</v>
      </c>
      <c r="X1" s="14" t="s">
        <v>202</v>
      </c>
      <c r="Y1" s="14" t="s">
        <v>202</v>
      </c>
      <c r="Z1" s="14" t="s">
        <v>203</v>
      </c>
      <c r="AA1" s="14" t="s">
        <v>203</v>
      </c>
      <c r="AB1" s="14" t="s">
        <v>204</v>
      </c>
      <c r="AC1" s="14" t="s">
        <v>204</v>
      </c>
      <c r="AD1" s="14" t="s">
        <v>204</v>
      </c>
      <c r="AE1" s="14" t="s">
        <v>205</v>
      </c>
      <c r="AF1" s="14" t="s">
        <v>206</v>
      </c>
      <c r="AG1" s="14" t="s">
        <v>206</v>
      </c>
      <c r="AI1" s="14" t="s">
        <v>207</v>
      </c>
      <c r="AJ1" s="14" t="s">
        <v>208</v>
      </c>
      <c r="AK1" s="14" t="s">
        <v>209</v>
      </c>
      <c r="AL1" s="14" t="s">
        <v>209</v>
      </c>
      <c r="AM1" s="14" t="s">
        <v>210</v>
      </c>
      <c r="AN1" s="14" t="s">
        <v>211</v>
      </c>
      <c r="AO1" s="14" t="s">
        <v>212</v>
      </c>
      <c r="AP1" s="14" t="s">
        <v>212</v>
      </c>
      <c r="AQ1" s="14" t="s">
        <v>213</v>
      </c>
      <c r="AR1" s="14" t="s">
        <v>213</v>
      </c>
    </row>
    <row r="2" spans="1:44" s="14" customFormat="1" ht="12.5" x14ac:dyDescent="0.25">
      <c r="A2" s="15" t="s">
        <v>0</v>
      </c>
      <c r="B2" s="15" t="s">
        <v>1</v>
      </c>
      <c r="C2" s="15" t="s">
        <v>2</v>
      </c>
      <c r="D2" s="15" t="s">
        <v>3</v>
      </c>
      <c r="E2" s="15" t="s">
        <v>2</v>
      </c>
      <c r="F2" s="15" t="s">
        <v>4</v>
      </c>
      <c r="G2" s="15" t="s">
        <v>2</v>
      </c>
      <c r="H2" s="15" t="s">
        <v>5</v>
      </c>
      <c r="I2" s="15" t="s">
        <v>2</v>
      </c>
      <c r="J2" s="15" t="s">
        <v>6</v>
      </c>
      <c r="K2" s="15" t="s">
        <v>2</v>
      </c>
      <c r="L2" s="15" t="s">
        <v>7</v>
      </c>
      <c r="M2" s="15" t="s">
        <v>2</v>
      </c>
      <c r="N2" s="15" t="s">
        <v>8</v>
      </c>
      <c r="O2" s="15" t="s">
        <v>2</v>
      </c>
      <c r="P2" s="15" t="s">
        <v>9</v>
      </c>
      <c r="Q2" s="15" t="s">
        <v>2</v>
      </c>
      <c r="R2" s="15" t="s">
        <v>10</v>
      </c>
      <c r="S2" s="15" t="s">
        <v>11</v>
      </c>
      <c r="T2" s="15" t="s">
        <v>2</v>
      </c>
      <c r="U2" s="16" t="s">
        <v>182</v>
      </c>
      <c r="V2" s="15" t="s">
        <v>2</v>
      </c>
      <c r="W2" s="16" t="s">
        <v>181</v>
      </c>
      <c r="X2" s="15" t="s">
        <v>14</v>
      </c>
      <c r="Y2" s="15" t="s">
        <v>14</v>
      </c>
      <c r="Z2" s="15" t="s">
        <v>15</v>
      </c>
      <c r="AA2" s="15" t="s">
        <v>15</v>
      </c>
      <c r="AB2" s="15" t="s">
        <v>16</v>
      </c>
      <c r="AC2" s="15" t="s">
        <v>235</v>
      </c>
      <c r="AD2" s="15" t="s">
        <v>236</v>
      </c>
      <c r="AE2" s="15" t="s">
        <v>17</v>
      </c>
      <c r="AF2" s="15" t="s">
        <v>18</v>
      </c>
      <c r="AG2" s="15"/>
      <c r="AH2" s="15"/>
      <c r="AI2" s="15" t="s">
        <v>19</v>
      </c>
      <c r="AJ2" s="15" t="s">
        <v>20</v>
      </c>
      <c r="AK2" s="15" t="s">
        <v>21</v>
      </c>
      <c r="AL2" s="15" t="s">
        <v>21</v>
      </c>
      <c r="AM2" s="15" t="s">
        <v>22</v>
      </c>
      <c r="AN2" s="15" t="s">
        <v>23</v>
      </c>
      <c r="AO2" s="15" t="s">
        <v>24</v>
      </c>
      <c r="AP2" s="15" t="s">
        <v>24</v>
      </c>
      <c r="AQ2" s="15" t="s">
        <v>25</v>
      </c>
      <c r="AR2" s="15" t="s">
        <v>25</v>
      </c>
    </row>
    <row r="3" spans="1:44" ht="12.5" x14ac:dyDescent="0.25">
      <c r="A3" s="2">
        <v>45357.410889421299</v>
      </c>
      <c r="B3" s="4">
        <v>5</v>
      </c>
      <c r="C3" s="4" t="s">
        <v>26</v>
      </c>
      <c r="D3" s="4">
        <v>7</v>
      </c>
      <c r="E3" s="4" t="s">
        <v>27</v>
      </c>
      <c r="F3" s="4">
        <v>7</v>
      </c>
      <c r="G3" s="4" t="s">
        <v>28</v>
      </c>
      <c r="H3" s="4">
        <v>10</v>
      </c>
      <c r="I3" s="4" t="s">
        <v>26</v>
      </c>
      <c r="J3" s="4">
        <v>10</v>
      </c>
      <c r="K3" s="4" t="s">
        <v>26</v>
      </c>
      <c r="L3" s="4">
        <v>8</v>
      </c>
      <c r="M3" s="4" t="s">
        <v>26</v>
      </c>
      <c r="N3" s="4">
        <v>10</v>
      </c>
      <c r="O3" s="4" t="s">
        <v>26</v>
      </c>
      <c r="P3" s="4">
        <v>7</v>
      </c>
      <c r="R3" s="4">
        <v>10</v>
      </c>
      <c r="S3" s="4">
        <v>10</v>
      </c>
      <c r="U3" s="4">
        <v>10</v>
      </c>
      <c r="W3" s="4">
        <v>10</v>
      </c>
      <c r="X3" s="4" t="s">
        <v>29</v>
      </c>
      <c r="Y3" s="4">
        <v>10</v>
      </c>
      <c r="Z3" s="4" t="s">
        <v>30</v>
      </c>
      <c r="AA3" s="4">
        <v>8</v>
      </c>
      <c r="AB3" s="4" t="s">
        <v>31</v>
      </c>
      <c r="AC3" s="17">
        <v>1</v>
      </c>
      <c r="AD3" s="18">
        <f>2*(6-AC3)</f>
        <v>10</v>
      </c>
      <c r="AE3" s="4" t="s">
        <v>32</v>
      </c>
      <c r="AF3" s="4" t="s">
        <v>33</v>
      </c>
      <c r="AG3" s="19">
        <v>7</v>
      </c>
      <c r="AH3" s="20">
        <v>1</v>
      </c>
      <c r="AI3" s="4" t="s">
        <v>34</v>
      </c>
      <c r="AJ3" s="4" t="s">
        <v>35</v>
      </c>
      <c r="AK3" s="4" t="s">
        <v>36</v>
      </c>
      <c r="AL3" s="4">
        <v>9</v>
      </c>
      <c r="AM3" s="4" t="s">
        <v>34</v>
      </c>
      <c r="AN3" s="4" t="s">
        <v>37</v>
      </c>
      <c r="AO3" s="4" t="s">
        <v>38</v>
      </c>
      <c r="AP3" s="4">
        <v>10</v>
      </c>
      <c r="AQ3" s="4" t="s">
        <v>39</v>
      </c>
      <c r="AR3" s="9">
        <v>10</v>
      </c>
    </row>
    <row r="4" spans="1:44" ht="12.5" x14ac:dyDescent="0.25">
      <c r="A4" s="2">
        <v>45357.449567430551</v>
      </c>
      <c r="B4" s="4">
        <v>8</v>
      </c>
      <c r="C4" s="4" t="s">
        <v>40</v>
      </c>
      <c r="D4" s="4">
        <v>6</v>
      </c>
      <c r="E4" s="4" t="s">
        <v>41</v>
      </c>
      <c r="F4" s="4">
        <v>10</v>
      </c>
      <c r="G4" s="4" t="s">
        <v>42</v>
      </c>
      <c r="H4" s="4">
        <v>6</v>
      </c>
      <c r="I4" s="4" t="s">
        <v>41</v>
      </c>
      <c r="J4" s="4">
        <v>10</v>
      </c>
      <c r="K4" s="4" t="s">
        <v>43</v>
      </c>
      <c r="L4" s="4">
        <v>9</v>
      </c>
      <c r="M4" s="4" t="s">
        <v>41</v>
      </c>
      <c r="N4" s="4">
        <v>7</v>
      </c>
      <c r="O4" s="4" t="s">
        <v>44</v>
      </c>
      <c r="P4" s="4">
        <v>7</v>
      </c>
      <c r="Q4" s="4" t="s">
        <v>41</v>
      </c>
      <c r="R4" s="4">
        <v>10</v>
      </c>
      <c r="S4" s="4">
        <v>10</v>
      </c>
      <c r="T4" s="4" t="s">
        <v>45</v>
      </c>
      <c r="U4" s="4">
        <v>10</v>
      </c>
      <c r="V4" s="4" t="s">
        <v>46</v>
      </c>
      <c r="W4" s="4">
        <v>8</v>
      </c>
      <c r="X4" s="4" t="s">
        <v>47</v>
      </c>
      <c r="Y4" s="4">
        <v>10</v>
      </c>
      <c r="Z4" s="4" t="s">
        <v>48</v>
      </c>
      <c r="AA4" s="4">
        <v>10</v>
      </c>
      <c r="AB4" s="4" t="s">
        <v>49</v>
      </c>
      <c r="AC4" s="11">
        <v>1</v>
      </c>
      <c r="AD4" s="18">
        <f t="shared" ref="AD4:AD24" si="0">2*(6-AC4)</f>
        <v>10</v>
      </c>
      <c r="AE4" s="4" t="s">
        <v>50</v>
      </c>
      <c r="AF4" s="4" t="s">
        <v>35</v>
      </c>
      <c r="AG4" s="10">
        <v>9</v>
      </c>
      <c r="AH4" s="20">
        <v>3</v>
      </c>
      <c r="AI4" s="4" t="s">
        <v>51</v>
      </c>
      <c r="AJ4" s="4" t="s">
        <v>52</v>
      </c>
      <c r="AK4" s="4" t="s">
        <v>53</v>
      </c>
      <c r="AL4" s="4">
        <v>7</v>
      </c>
      <c r="AM4" s="4" t="s">
        <v>35</v>
      </c>
      <c r="AN4" s="4" t="s">
        <v>54</v>
      </c>
      <c r="AO4" s="4" t="s">
        <v>55</v>
      </c>
      <c r="AP4" s="4">
        <v>10</v>
      </c>
      <c r="AQ4" s="4" t="s">
        <v>35</v>
      </c>
      <c r="AR4" s="9">
        <v>8</v>
      </c>
    </row>
    <row r="5" spans="1:44" ht="12.5" x14ac:dyDescent="0.25">
      <c r="A5" s="2">
        <v>45357.476789895838</v>
      </c>
      <c r="B5" s="4">
        <v>3</v>
      </c>
      <c r="D5" s="4">
        <v>4</v>
      </c>
      <c r="F5" s="4">
        <v>8</v>
      </c>
      <c r="H5" s="4">
        <v>6</v>
      </c>
      <c r="J5" s="4">
        <v>9</v>
      </c>
      <c r="L5" s="4">
        <v>4</v>
      </c>
      <c r="N5" s="4">
        <v>3</v>
      </c>
      <c r="P5" s="4">
        <v>4</v>
      </c>
      <c r="R5" s="4">
        <v>7</v>
      </c>
      <c r="S5" s="4">
        <v>6</v>
      </c>
      <c r="U5" s="4">
        <v>10</v>
      </c>
      <c r="V5" s="4" t="s">
        <v>56</v>
      </c>
      <c r="W5" s="4">
        <v>4</v>
      </c>
      <c r="X5" s="4" t="s">
        <v>35</v>
      </c>
      <c r="Y5" s="4">
        <v>9</v>
      </c>
      <c r="Z5" s="4" t="s">
        <v>57</v>
      </c>
      <c r="AA5" s="4">
        <v>7</v>
      </c>
      <c r="AB5" s="4" t="s">
        <v>58</v>
      </c>
      <c r="AC5" s="11">
        <v>5</v>
      </c>
      <c r="AD5" s="18">
        <f t="shared" si="0"/>
        <v>2</v>
      </c>
      <c r="AE5" s="4" t="s">
        <v>35</v>
      </c>
      <c r="AF5" s="4" t="s">
        <v>35</v>
      </c>
      <c r="AG5" s="10">
        <v>9</v>
      </c>
      <c r="AH5" s="20">
        <v>3</v>
      </c>
      <c r="AI5" s="4" t="s">
        <v>41</v>
      </c>
      <c r="AJ5" s="4" t="s">
        <v>41</v>
      </c>
      <c r="AK5" s="4" t="s">
        <v>41</v>
      </c>
      <c r="AL5" s="4">
        <v>5</v>
      </c>
      <c r="AM5" s="4" t="s">
        <v>57</v>
      </c>
      <c r="AN5" s="4" t="s">
        <v>59</v>
      </c>
      <c r="AO5" s="4" t="s">
        <v>35</v>
      </c>
      <c r="AP5" s="4">
        <v>10</v>
      </c>
      <c r="AQ5" s="4" t="s">
        <v>60</v>
      </c>
      <c r="AR5" s="9">
        <v>8</v>
      </c>
    </row>
    <row r="6" spans="1:44" ht="12.5" x14ac:dyDescent="0.25">
      <c r="A6" s="2">
        <v>45357.583837847225</v>
      </c>
      <c r="B6" s="4">
        <v>9</v>
      </c>
      <c r="D6" s="4">
        <v>10</v>
      </c>
      <c r="E6" s="4" t="s">
        <v>61</v>
      </c>
      <c r="F6" s="4">
        <v>7</v>
      </c>
      <c r="G6" s="4" t="s">
        <v>61</v>
      </c>
      <c r="H6" s="4">
        <v>10</v>
      </c>
      <c r="I6" s="4" t="s">
        <v>61</v>
      </c>
      <c r="J6" s="4">
        <v>10</v>
      </c>
      <c r="K6" s="4" t="s">
        <v>61</v>
      </c>
      <c r="L6" s="4">
        <v>7</v>
      </c>
      <c r="M6" s="4" t="s">
        <v>62</v>
      </c>
      <c r="N6" s="4">
        <v>6</v>
      </c>
      <c r="O6" s="4" t="s">
        <v>63</v>
      </c>
      <c r="P6" s="4">
        <v>10</v>
      </c>
      <c r="Q6" s="4" t="s">
        <v>61</v>
      </c>
      <c r="R6" s="4">
        <v>10</v>
      </c>
      <c r="S6" s="4">
        <v>10</v>
      </c>
      <c r="T6" s="4" t="s">
        <v>64</v>
      </c>
      <c r="U6" s="4">
        <v>10</v>
      </c>
      <c r="V6" s="4" t="s">
        <v>65</v>
      </c>
      <c r="W6" s="4">
        <v>10</v>
      </c>
      <c r="X6" s="4" t="s">
        <v>34</v>
      </c>
      <c r="Y6" s="4">
        <v>9</v>
      </c>
      <c r="Z6" s="4" t="s">
        <v>35</v>
      </c>
      <c r="AA6" s="4">
        <v>8</v>
      </c>
      <c r="AB6" s="4" t="s">
        <v>41</v>
      </c>
      <c r="AC6" s="11">
        <v>1</v>
      </c>
      <c r="AD6" s="18">
        <f t="shared" si="0"/>
        <v>10</v>
      </c>
      <c r="AE6" s="4" t="s">
        <v>35</v>
      </c>
      <c r="AF6" s="4" t="s">
        <v>35</v>
      </c>
      <c r="AG6" s="10">
        <v>9</v>
      </c>
      <c r="AH6" s="20">
        <v>3</v>
      </c>
      <c r="AI6" s="4" t="s">
        <v>66</v>
      </c>
      <c r="AJ6" s="4" t="s">
        <v>35</v>
      </c>
      <c r="AK6" s="4" t="s">
        <v>67</v>
      </c>
      <c r="AL6" s="4">
        <v>6</v>
      </c>
      <c r="AM6" s="4" t="s">
        <v>35</v>
      </c>
      <c r="AN6" s="4" t="s">
        <v>68</v>
      </c>
      <c r="AO6" s="4" t="s">
        <v>35</v>
      </c>
      <c r="AP6" s="4">
        <v>10</v>
      </c>
      <c r="AQ6" s="4" t="s">
        <v>69</v>
      </c>
      <c r="AR6" s="9">
        <v>10</v>
      </c>
    </row>
    <row r="7" spans="1:44" ht="12.5" x14ac:dyDescent="0.25">
      <c r="A7" s="2">
        <v>45357.615013310184</v>
      </c>
      <c r="B7" s="4">
        <v>8</v>
      </c>
      <c r="D7" s="4">
        <v>7</v>
      </c>
      <c r="F7" s="4">
        <v>5</v>
      </c>
      <c r="G7" s="4" t="s">
        <v>70</v>
      </c>
      <c r="H7" s="4">
        <v>10</v>
      </c>
      <c r="J7" s="4">
        <v>10</v>
      </c>
      <c r="L7" s="4">
        <v>8</v>
      </c>
      <c r="N7" s="4">
        <v>10</v>
      </c>
      <c r="P7" s="4">
        <v>10</v>
      </c>
      <c r="R7" s="4">
        <v>10</v>
      </c>
      <c r="S7" s="4">
        <v>10</v>
      </c>
      <c r="T7" s="4" t="s">
        <v>71</v>
      </c>
      <c r="U7" s="4">
        <v>10</v>
      </c>
      <c r="V7" s="4" t="s">
        <v>72</v>
      </c>
      <c r="W7" s="4">
        <v>10</v>
      </c>
      <c r="X7" s="4" t="s">
        <v>35</v>
      </c>
      <c r="Y7" s="4">
        <v>9</v>
      </c>
      <c r="Z7" s="4" t="s">
        <v>73</v>
      </c>
      <c r="AA7" s="4">
        <v>7</v>
      </c>
      <c r="AB7" s="4" t="s">
        <v>41</v>
      </c>
      <c r="AC7" s="11">
        <v>1</v>
      </c>
      <c r="AD7" s="18">
        <f t="shared" si="0"/>
        <v>10</v>
      </c>
      <c r="AE7" s="4" t="s">
        <v>35</v>
      </c>
      <c r="AF7" s="4" t="s">
        <v>35</v>
      </c>
      <c r="AG7" s="10">
        <v>9</v>
      </c>
      <c r="AH7" s="20">
        <v>3</v>
      </c>
      <c r="AI7" s="4" t="s">
        <v>74</v>
      </c>
      <c r="AJ7" s="4" t="s">
        <v>75</v>
      </c>
      <c r="AK7" s="4" t="s">
        <v>34</v>
      </c>
      <c r="AL7" s="4">
        <v>10</v>
      </c>
      <c r="AM7" s="4" t="s">
        <v>35</v>
      </c>
      <c r="AN7" s="4" t="s">
        <v>76</v>
      </c>
      <c r="AO7" s="4" t="s">
        <v>77</v>
      </c>
      <c r="AP7" s="4">
        <v>10</v>
      </c>
      <c r="AQ7" s="4" t="s">
        <v>35</v>
      </c>
      <c r="AR7" s="9">
        <v>8</v>
      </c>
    </row>
    <row r="8" spans="1:44" ht="12.5" x14ac:dyDescent="0.25">
      <c r="A8" s="2">
        <v>45357.63362951389</v>
      </c>
      <c r="B8" s="4">
        <v>10</v>
      </c>
      <c r="C8" s="4" t="s">
        <v>41</v>
      </c>
      <c r="D8" s="4">
        <v>10</v>
      </c>
      <c r="E8" s="4" t="s">
        <v>41</v>
      </c>
      <c r="F8" s="4">
        <v>10</v>
      </c>
      <c r="G8" s="4" t="s">
        <v>41</v>
      </c>
      <c r="H8" s="4">
        <v>10</v>
      </c>
      <c r="I8" s="4" t="s">
        <v>41</v>
      </c>
      <c r="J8" s="4">
        <v>10</v>
      </c>
      <c r="K8" s="4" t="s">
        <v>41</v>
      </c>
      <c r="L8" s="4">
        <v>10</v>
      </c>
      <c r="M8" s="4" t="s">
        <v>41</v>
      </c>
      <c r="N8" s="4">
        <v>10</v>
      </c>
      <c r="O8" s="4" t="s">
        <v>41</v>
      </c>
      <c r="P8" s="4">
        <v>10</v>
      </c>
      <c r="Q8" s="4" t="s">
        <v>41</v>
      </c>
      <c r="R8" s="4">
        <v>10</v>
      </c>
      <c r="S8" s="4">
        <v>10</v>
      </c>
      <c r="T8" s="4" t="s">
        <v>41</v>
      </c>
      <c r="U8" s="4">
        <v>10</v>
      </c>
      <c r="V8" s="4" t="s">
        <v>41</v>
      </c>
      <c r="W8" s="4">
        <v>10</v>
      </c>
      <c r="X8" s="4" t="s">
        <v>78</v>
      </c>
      <c r="Y8" s="4">
        <v>10</v>
      </c>
      <c r="Z8" s="4" t="s">
        <v>79</v>
      </c>
      <c r="AA8" s="4">
        <v>9</v>
      </c>
      <c r="AB8" s="4" t="s">
        <v>80</v>
      </c>
      <c r="AC8" s="11">
        <v>1</v>
      </c>
      <c r="AD8" s="18">
        <f t="shared" si="0"/>
        <v>10</v>
      </c>
      <c r="AE8" s="4" t="s">
        <v>35</v>
      </c>
      <c r="AF8" s="4" t="s">
        <v>81</v>
      </c>
      <c r="AG8" s="10">
        <v>8</v>
      </c>
      <c r="AH8" s="20">
        <v>2</v>
      </c>
      <c r="AI8" s="4" t="s">
        <v>34</v>
      </c>
      <c r="AJ8" s="4" t="s">
        <v>82</v>
      </c>
      <c r="AK8" s="4" t="s">
        <v>34</v>
      </c>
      <c r="AL8" s="4">
        <v>10</v>
      </c>
      <c r="AM8" s="4" t="s">
        <v>83</v>
      </c>
      <c r="AN8" s="4" t="s">
        <v>84</v>
      </c>
      <c r="AO8" s="4" t="s">
        <v>85</v>
      </c>
      <c r="AP8" s="4">
        <v>10</v>
      </c>
      <c r="AQ8" s="4" t="s">
        <v>86</v>
      </c>
      <c r="AR8" s="9">
        <v>6</v>
      </c>
    </row>
    <row r="9" spans="1:44" ht="12.5" x14ac:dyDescent="0.25">
      <c r="A9" s="2">
        <v>45357.675118645835</v>
      </c>
      <c r="B9" s="4">
        <v>9</v>
      </c>
      <c r="C9" s="4" t="s">
        <v>87</v>
      </c>
      <c r="D9" s="4">
        <v>10</v>
      </c>
      <c r="F9" s="4">
        <v>10</v>
      </c>
      <c r="H9" s="4">
        <v>10</v>
      </c>
      <c r="J9" s="4">
        <v>10</v>
      </c>
      <c r="L9" s="4">
        <v>10</v>
      </c>
      <c r="N9" s="4">
        <v>10</v>
      </c>
      <c r="P9" s="4">
        <v>9</v>
      </c>
      <c r="Q9" s="4" t="s">
        <v>88</v>
      </c>
      <c r="R9" s="4">
        <v>10</v>
      </c>
      <c r="S9" s="4">
        <v>10</v>
      </c>
      <c r="U9" s="4">
        <v>10</v>
      </c>
      <c r="W9" s="4">
        <v>10</v>
      </c>
      <c r="X9" s="4" t="s">
        <v>89</v>
      </c>
      <c r="Y9" s="4">
        <v>8</v>
      </c>
      <c r="Z9" s="4" t="s">
        <v>90</v>
      </c>
      <c r="AA9" s="4">
        <v>9</v>
      </c>
      <c r="AB9" s="4" t="s">
        <v>91</v>
      </c>
      <c r="AC9" s="11">
        <v>1</v>
      </c>
      <c r="AD9" s="18">
        <f t="shared" si="0"/>
        <v>10</v>
      </c>
      <c r="AE9" s="4" t="s">
        <v>92</v>
      </c>
      <c r="AF9" s="4" t="s">
        <v>93</v>
      </c>
      <c r="AG9" s="10">
        <v>7</v>
      </c>
      <c r="AH9" s="20">
        <v>1</v>
      </c>
      <c r="AI9" s="4" t="s">
        <v>94</v>
      </c>
      <c r="AJ9" s="4" t="s">
        <v>95</v>
      </c>
      <c r="AK9" s="4" t="s">
        <v>96</v>
      </c>
      <c r="AL9" s="4">
        <v>10</v>
      </c>
      <c r="AM9" s="4" t="s">
        <v>97</v>
      </c>
      <c r="AN9" s="4" t="s">
        <v>98</v>
      </c>
      <c r="AO9" s="4" t="s">
        <v>99</v>
      </c>
      <c r="AP9" s="4">
        <v>10</v>
      </c>
      <c r="AQ9" s="4" t="s">
        <v>100</v>
      </c>
      <c r="AR9" s="9">
        <v>10</v>
      </c>
    </row>
    <row r="10" spans="1:44" ht="19.5" customHeight="1" x14ac:dyDescent="0.25">
      <c r="A10" s="2">
        <v>45357.77325471065</v>
      </c>
      <c r="B10" s="4">
        <v>5</v>
      </c>
      <c r="D10" s="4">
        <v>10</v>
      </c>
      <c r="F10" s="4">
        <v>5</v>
      </c>
      <c r="H10" s="4">
        <v>8</v>
      </c>
      <c r="J10" s="4">
        <v>1</v>
      </c>
      <c r="L10" s="4">
        <v>1</v>
      </c>
      <c r="N10" s="4">
        <v>1</v>
      </c>
      <c r="P10" s="4">
        <v>1</v>
      </c>
      <c r="R10" s="4">
        <v>10</v>
      </c>
      <c r="S10" s="4">
        <v>10</v>
      </c>
      <c r="U10" s="4">
        <v>10</v>
      </c>
      <c r="W10" s="4">
        <v>10</v>
      </c>
      <c r="X10" s="4" t="s">
        <v>35</v>
      </c>
      <c r="Y10" s="4">
        <v>9</v>
      </c>
      <c r="Z10" s="4" t="s">
        <v>101</v>
      </c>
      <c r="AA10" s="4">
        <v>8</v>
      </c>
      <c r="AB10" s="4" t="s">
        <v>41</v>
      </c>
      <c r="AC10" s="11">
        <v>1</v>
      </c>
      <c r="AD10" s="18">
        <f t="shared" si="0"/>
        <v>10</v>
      </c>
      <c r="AE10" s="4" t="s">
        <v>35</v>
      </c>
      <c r="AF10" s="4" t="s">
        <v>35</v>
      </c>
      <c r="AG10" s="10">
        <v>9</v>
      </c>
      <c r="AH10" s="20">
        <v>3</v>
      </c>
      <c r="AI10" s="4" t="s">
        <v>102</v>
      </c>
      <c r="AJ10" s="4" t="s">
        <v>103</v>
      </c>
      <c r="AK10" s="4" t="s">
        <v>104</v>
      </c>
      <c r="AL10" s="4">
        <v>7</v>
      </c>
      <c r="AM10" s="4" t="s">
        <v>35</v>
      </c>
      <c r="AN10" s="4" t="s">
        <v>105</v>
      </c>
      <c r="AO10" s="4" t="s">
        <v>106</v>
      </c>
      <c r="AP10" s="4">
        <v>10</v>
      </c>
      <c r="AQ10" s="4" t="s">
        <v>107</v>
      </c>
      <c r="AR10" s="9">
        <v>8</v>
      </c>
    </row>
    <row r="11" spans="1:44" ht="12.5" x14ac:dyDescent="0.25">
      <c r="A11" s="2">
        <v>45357.889249722226</v>
      </c>
      <c r="B11" s="4">
        <v>6</v>
      </c>
      <c r="D11" s="4">
        <v>10</v>
      </c>
      <c r="E11" s="4" t="s">
        <v>108</v>
      </c>
      <c r="F11" s="4">
        <v>8</v>
      </c>
      <c r="H11" s="4">
        <v>8</v>
      </c>
      <c r="J11" s="4">
        <v>9</v>
      </c>
      <c r="L11" s="4">
        <v>9</v>
      </c>
      <c r="N11" s="4">
        <v>8</v>
      </c>
      <c r="P11" s="4">
        <v>8</v>
      </c>
      <c r="R11" s="4">
        <v>9</v>
      </c>
      <c r="S11" s="4">
        <v>10</v>
      </c>
      <c r="U11" s="4">
        <v>10</v>
      </c>
      <c r="W11" s="4">
        <v>10</v>
      </c>
      <c r="X11" s="4" t="s">
        <v>35</v>
      </c>
      <c r="Y11" s="4">
        <v>9</v>
      </c>
      <c r="Z11" s="4" t="s">
        <v>109</v>
      </c>
      <c r="AA11" s="4">
        <v>9</v>
      </c>
      <c r="AB11" s="4" t="s">
        <v>41</v>
      </c>
      <c r="AC11" s="11">
        <v>1</v>
      </c>
      <c r="AD11" s="18">
        <f t="shared" si="0"/>
        <v>10</v>
      </c>
      <c r="AE11" s="4" t="s">
        <v>35</v>
      </c>
      <c r="AF11" s="4" t="s">
        <v>35</v>
      </c>
      <c r="AG11" s="10">
        <v>9</v>
      </c>
      <c r="AH11" s="20">
        <v>3</v>
      </c>
      <c r="AI11" s="4" t="s">
        <v>109</v>
      </c>
      <c r="AJ11" s="4" t="s">
        <v>109</v>
      </c>
      <c r="AK11" s="4" t="s">
        <v>110</v>
      </c>
      <c r="AL11" s="4">
        <v>7</v>
      </c>
      <c r="AM11" s="4" t="s">
        <v>35</v>
      </c>
      <c r="AN11" s="4" t="s">
        <v>111</v>
      </c>
      <c r="AO11" s="4" t="s">
        <v>112</v>
      </c>
      <c r="AP11" s="4">
        <v>10</v>
      </c>
      <c r="AQ11" s="4" t="s">
        <v>109</v>
      </c>
      <c r="AR11" s="9">
        <v>8</v>
      </c>
    </row>
    <row r="12" spans="1:44" ht="12.5" x14ac:dyDescent="0.25">
      <c r="A12" s="2">
        <v>45358.462790914353</v>
      </c>
      <c r="B12" s="4">
        <v>10</v>
      </c>
      <c r="D12" s="4">
        <v>10</v>
      </c>
      <c r="F12" s="4">
        <v>7</v>
      </c>
      <c r="G12" s="4" t="s">
        <v>113</v>
      </c>
      <c r="H12" s="4">
        <v>8</v>
      </c>
      <c r="J12" s="4">
        <v>10</v>
      </c>
      <c r="L12" s="4">
        <v>10</v>
      </c>
      <c r="N12" s="4">
        <v>10</v>
      </c>
      <c r="P12" s="4">
        <v>10</v>
      </c>
      <c r="R12" s="4">
        <v>10</v>
      </c>
      <c r="S12" s="4">
        <v>10</v>
      </c>
      <c r="U12" s="4">
        <v>10</v>
      </c>
      <c r="W12" s="4">
        <v>10</v>
      </c>
      <c r="X12" s="4" t="s">
        <v>35</v>
      </c>
      <c r="Y12" s="4">
        <v>9</v>
      </c>
      <c r="Z12" s="4" t="s">
        <v>114</v>
      </c>
      <c r="AA12" s="4">
        <v>10</v>
      </c>
      <c r="AB12" s="4" t="s">
        <v>115</v>
      </c>
      <c r="AC12" s="11">
        <v>1</v>
      </c>
      <c r="AD12" s="18">
        <f t="shared" si="0"/>
        <v>10</v>
      </c>
      <c r="AE12" s="4" t="s">
        <v>116</v>
      </c>
      <c r="AF12" s="4" t="s">
        <v>117</v>
      </c>
      <c r="AG12" s="10">
        <v>7</v>
      </c>
      <c r="AH12" s="20">
        <v>2</v>
      </c>
      <c r="AI12" s="4" t="s">
        <v>35</v>
      </c>
      <c r="AJ12" s="4" t="s">
        <v>35</v>
      </c>
      <c r="AK12" s="4" t="s">
        <v>35</v>
      </c>
      <c r="AL12" s="4">
        <v>10</v>
      </c>
      <c r="AM12" s="4" t="s">
        <v>35</v>
      </c>
      <c r="AN12" s="4" t="s">
        <v>118</v>
      </c>
      <c r="AO12" s="4" t="s">
        <v>34</v>
      </c>
      <c r="AP12" s="4">
        <v>10</v>
      </c>
      <c r="AQ12" s="4" t="s">
        <v>119</v>
      </c>
      <c r="AR12" s="9">
        <v>10</v>
      </c>
    </row>
    <row r="13" spans="1:44" ht="12.5" x14ac:dyDescent="0.25">
      <c r="A13" s="2">
        <v>45358.535946273143</v>
      </c>
      <c r="B13" s="4">
        <v>5</v>
      </c>
      <c r="C13" s="4" t="s">
        <v>120</v>
      </c>
      <c r="D13" s="4">
        <v>10</v>
      </c>
      <c r="F13" s="4">
        <v>5</v>
      </c>
      <c r="G13" s="4" t="s">
        <v>121</v>
      </c>
      <c r="H13" s="4">
        <v>8</v>
      </c>
      <c r="J13" s="4">
        <v>8</v>
      </c>
      <c r="L13" s="4">
        <v>9</v>
      </c>
      <c r="N13" s="4">
        <v>9</v>
      </c>
      <c r="P13" s="4">
        <v>9</v>
      </c>
      <c r="R13" s="4">
        <v>8</v>
      </c>
      <c r="S13" s="4">
        <v>8</v>
      </c>
      <c r="U13" s="4">
        <v>10</v>
      </c>
      <c r="W13" s="4">
        <v>10</v>
      </c>
      <c r="X13" s="4" t="s">
        <v>35</v>
      </c>
      <c r="Y13" s="4">
        <v>9</v>
      </c>
      <c r="Z13" s="4" t="s">
        <v>122</v>
      </c>
      <c r="AA13" s="4">
        <v>7</v>
      </c>
      <c r="AB13" s="4" t="s">
        <v>123</v>
      </c>
      <c r="AC13" s="11">
        <v>1</v>
      </c>
      <c r="AD13" s="18">
        <f t="shared" si="0"/>
        <v>10</v>
      </c>
      <c r="AE13" s="4" t="s">
        <v>34</v>
      </c>
      <c r="AF13" s="4" t="s">
        <v>124</v>
      </c>
      <c r="AG13" s="10">
        <v>7</v>
      </c>
      <c r="AH13" s="20">
        <v>2</v>
      </c>
      <c r="AI13" s="4" t="s">
        <v>35</v>
      </c>
      <c r="AJ13" s="4" t="s">
        <v>125</v>
      </c>
      <c r="AK13" s="4" t="s">
        <v>126</v>
      </c>
      <c r="AL13" s="4">
        <v>8</v>
      </c>
      <c r="AM13" s="4" t="s">
        <v>35</v>
      </c>
      <c r="AN13" s="4" t="s">
        <v>127</v>
      </c>
      <c r="AO13" s="4" t="s">
        <v>128</v>
      </c>
      <c r="AP13" s="4">
        <v>8</v>
      </c>
      <c r="AQ13" s="4" t="s">
        <v>129</v>
      </c>
      <c r="AR13" s="9">
        <v>8</v>
      </c>
    </row>
    <row r="14" spans="1:44" ht="12.5" x14ac:dyDescent="0.25">
      <c r="A14" s="2">
        <v>45358.558370231476</v>
      </c>
      <c r="B14" s="4">
        <v>10</v>
      </c>
      <c r="D14" s="4">
        <v>10</v>
      </c>
      <c r="F14" s="4">
        <v>8</v>
      </c>
      <c r="G14" s="4" t="s">
        <v>130</v>
      </c>
      <c r="H14" s="4">
        <v>10</v>
      </c>
      <c r="J14" s="4">
        <v>10</v>
      </c>
      <c r="L14" s="4">
        <v>8</v>
      </c>
      <c r="N14" s="4">
        <v>8</v>
      </c>
      <c r="P14" s="4">
        <v>10</v>
      </c>
      <c r="R14" s="4">
        <v>10</v>
      </c>
      <c r="S14" s="4">
        <v>10</v>
      </c>
      <c r="U14" s="4">
        <v>10</v>
      </c>
      <c r="W14" s="4">
        <v>10</v>
      </c>
      <c r="X14" s="4" t="s">
        <v>35</v>
      </c>
      <c r="Y14" s="4">
        <v>9</v>
      </c>
      <c r="Z14" s="4" t="s">
        <v>35</v>
      </c>
      <c r="AA14" s="4">
        <v>9</v>
      </c>
      <c r="AB14" s="4" t="s">
        <v>41</v>
      </c>
      <c r="AC14" s="11">
        <v>1</v>
      </c>
      <c r="AD14" s="18">
        <f t="shared" si="0"/>
        <v>10</v>
      </c>
      <c r="AE14" s="4" t="s">
        <v>35</v>
      </c>
      <c r="AF14" s="4" t="s">
        <v>35</v>
      </c>
      <c r="AG14" s="10">
        <v>9</v>
      </c>
      <c r="AH14" s="20">
        <v>3</v>
      </c>
      <c r="AI14" s="4" t="s">
        <v>131</v>
      </c>
      <c r="AJ14" s="4" t="s">
        <v>35</v>
      </c>
      <c r="AK14" s="4" t="s">
        <v>35</v>
      </c>
      <c r="AL14" s="4">
        <v>10</v>
      </c>
      <c r="AM14" s="4" t="s">
        <v>35</v>
      </c>
      <c r="AN14" s="4" t="s">
        <v>132</v>
      </c>
      <c r="AO14" s="4" t="s">
        <v>133</v>
      </c>
      <c r="AP14" s="4">
        <v>10</v>
      </c>
      <c r="AQ14" s="4" t="s">
        <v>35</v>
      </c>
      <c r="AR14" s="9">
        <v>8</v>
      </c>
    </row>
    <row r="15" spans="1:44" ht="12.5" x14ac:dyDescent="0.25">
      <c r="A15" s="2">
        <v>45358.598629988424</v>
      </c>
      <c r="B15" s="4">
        <v>8</v>
      </c>
      <c r="D15" s="4">
        <v>10</v>
      </c>
      <c r="F15" s="4">
        <v>8</v>
      </c>
      <c r="H15" s="4">
        <v>10</v>
      </c>
      <c r="J15" s="4">
        <v>10</v>
      </c>
      <c r="L15" s="4">
        <v>10</v>
      </c>
      <c r="N15" s="4">
        <v>10</v>
      </c>
      <c r="P15" s="4">
        <v>10</v>
      </c>
      <c r="R15" s="4">
        <v>10</v>
      </c>
      <c r="S15" s="4">
        <v>10</v>
      </c>
      <c r="U15" s="4">
        <v>10</v>
      </c>
      <c r="W15" s="4">
        <v>10</v>
      </c>
      <c r="X15" s="4" t="s">
        <v>134</v>
      </c>
      <c r="Y15" s="4">
        <v>7</v>
      </c>
      <c r="Z15" s="4" t="s">
        <v>35</v>
      </c>
      <c r="AA15" s="4">
        <v>9</v>
      </c>
      <c r="AB15" s="4" t="s">
        <v>41</v>
      </c>
      <c r="AC15" s="11">
        <v>1</v>
      </c>
      <c r="AD15" s="18">
        <f t="shared" si="0"/>
        <v>10</v>
      </c>
      <c r="AE15" s="4" t="s">
        <v>35</v>
      </c>
      <c r="AF15" s="4" t="s">
        <v>35</v>
      </c>
      <c r="AG15" s="10">
        <v>9</v>
      </c>
      <c r="AH15" s="20">
        <v>3</v>
      </c>
      <c r="AI15" s="4" t="s">
        <v>35</v>
      </c>
      <c r="AJ15" s="4" t="s">
        <v>35</v>
      </c>
      <c r="AK15" s="4" t="s">
        <v>35</v>
      </c>
      <c r="AL15" s="4">
        <v>10</v>
      </c>
      <c r="AM15" s="4" t="s">
        <v>35</v>
      </c>
      <c r="AN15" s="4" t="s">
        <v>135</v>
      </c>
      <c r="AO15" s="4" t="s">
        <v>34</v>
      </c>
      <c r="AP15" s="4">
        <v>10</v>
      </c>
      <c r="AQ15" s="4" t="s">
        <v>136</v>
      </c>
      <c r="AR15" s="9">
        <v>8</v>
      </c>
    </row>
    <row r="16" spans="1:44" ht="12.5" x14ac:dyDescent="0.25">
      <c r="A16" s="2">
        <v>45358.697732395834</v>
      </c>
      <c r="B16" s="4">
        <v>10</v>
      </c>
      <c r="D16" s="4">
        <v>9</v>
      </c>
      <c r="F16" s="4">
        <v>10</v>
      </c>
      <c r="G16" s="4" t="s">
        <v>137</v>
      </c>
      <c r="H16" s="4">
        <v>9</v>
      </c>
      <c r="J16" s="4">
        <v>10</v>
      </c>
      <c r="L16" s="4">
        <v>7</v>
      </c>
      <c r="M16" s="4" t="s">
        <v>138</v>
      </c>
      <c r="N16" s="4">
        <v>10</v>
      </c>
      <c r="P16" s="4">
        <v>10</v>
      </c>
      <c r="R16" s="4">
        <v>10</v>
      </c>
      <c r="S16" s="4">
        <v>10</v>
      </c>
      <c r="T16" s="4" t="s">
        <v>139</v>
      </c>
      <c r="U16" s="4">
        <v>10</v>
      </c>
      <c r="W16" s="4">
        <v>10</v>
      </c>
      <c r="X16" s="4" t="s">
        <v>140</v>
      </c>
      <c r="Y16" s="4">
        <v>6</v>
      </c>
      <c r="Z16" s="4" t="s">
        <v>141</v>
      </c>
      <c r="AA16" s="4">
        <v>6</v>
      </c>
      <c r="AB16" s="4" t="s">
        <v>142</v>
      </c>
      <c r="AC16" s="11">
        <v>1</v>
      </c>
      <c r="AD16" s="18">
        <f t="shared" si="0"/>
        <v>10</v>
      </c>
      <c r="AE16" s="4" t="s">
        <v>143</v>
      </c>
      <c r="AF16" s="4" t="s">
        <v>35</v>
      </c>
      <c r="AG16" s="10">
        <v>10</v>
      </c>
      <c r="AH16" s="20">
        <v>3</v>
      </c>
      <c r="AI16" s="4" t="s">
        <v>35</v>
      </c>
      <c r="AJ16" s="4" t="s">
        <v>144</v>
      </c>
      <c r="AK16" s="4" t="s">
        <v>145</v>
      </c>
      <c r="AL16" s="4">
        <v>9</v>
      </c>
      <c r="AM16" s="4" t="s">
        <v>35</v>
      </c>
      <c r="AN16" s="4" t="s">
        <v>146</v>
      </c>
      <c r="AO16" s="4" t="s">
        <v>147</v>
      </c>
      <c r="AP16" s="4">
        <v>10</v>
      </c>
      <c r="AQ16" s="4" t="s">
        <v>148</v>
      </c>
      <c r="AR16" s="9">
        <v>10</v>
      </c>
    </row>
    <row r="17" spans="1:44" ht="12.5" x14ac:dyDescent="0.25">
      <c r="A17" s="2">
        <v>45358.721325659717</v>
      </c>
      <c r="B17" s="4">
        <v>7</v>
      </c>
      <c r="C17" s="4" t="s">
        <v>149</v>
      </c>
      <c r="D17" s="4">
        <v>6</v>
      </c>
      <c r="E17" s="4" t="s">
        <v>150</v>
      </c>
      <c r="F17" s="4">
        <v>2</v>
      </c>
      <c r="G17" s="4" t="s">
        <v>151</v>
      </c>
      <c r="H17" s="4">
        <v>5</v>
      </c>
      <c r="I17" s="4" t="s">
        <v>41</v>
      </c>
      <c r="J17" s="4">
        <v>6</v>
      </c>
      <c r="L17" s="4">
        <v>8</v>
      </c>
      <c r="M17" s="4" t="s">
        <v>152</v>
      </c>
      <c r="N17" s="4">
        <v>5</v>
      </c>
      <c r="O17" s="4" t="s">
        <v>153</v>
      </c>
      <c r="P17" s="4">
        <v>7</v>
      </c>
      <c r="R17" s="4">
        <v>1</v>
      </c>
      <c r="S17" s="4">
        <v>8</v>
      </c>
      <c r="U17" s="4">
        <v>7</v>
      </c>
      <c r="W17" s="4">
        <v>10</v>
      </c>
      <c r="X17" s="4" t="s">
        <v>154</v>
      </c>
      <c r="Y17" s="4">
        <v>6</v>
      </c>
      <c r="Z17" s="4" t="s">
        <v>155</v>
      </c>
      <c r="AA17" s="4">
        <v>9</v>
      </c>
      <c r="AB17" s="4" t="s">
        <v>41</v>
      </c>
      <c r="AC17" s="11">
        <v>1</v>
      </c>
      <c r="AD17" s="18">
        <f t="shared" si="0"/>
        <v>10</v>
      </c>
      <c r="AE17" s="4" t="s">
        <v>35</v>
      </c>
      <c r="AF17" s="4" t="s">
        <v>156</v>
      </c>
      <c r="AG17" s="10">
        <v>6</v>
      </c>
      <c r="AH17" s="20">
        <v>1</v>
      </c>
      <c r="AI17" s="4" t="s">
        <v>41</v>
      </c>
      <c r="AJ17" s="4" t="s">
        <v>157</v>
      </c>
      <c r="AK17" s="4" t="s">
        <v>158</v>
      </c>
      <c r="AL17" s="4">
        <v>6</v>
      </c>
      <c r="AM17" s="4" t="s">
        <v>35</v>
      </c>
      <c r="AN17" s="4" t="s">
        <v>159</v>
      </c>
      <c r="AO17" s="4" t="s">
        <v>35</v>
      </c>
      <c r="AP17" s="4">
        <v>10</v>
      </c>
      <c r="AQ17" s="4" t="s">
        <v>35</v>
      </c>
      <c r="AR17" s="9">
        <v>8</v>
      </c>
    </row>
    <row r="18" spans="1:44" ht="12.5" x14ac:dyDescent="0.25">
      <c r="A18" s="2">
        <v>45358.767887245369</v>
      </c>
      <c r="B18" s="4">
        <v>10</v>
      </c>
      <c r="D18" s="4">
        <v>10</v>
      </c>
      <c r="F18" s="4">
        <v>10</v>
      </c>
      <c r="H18" s="4">
        <v>10</v>
      </c>
      <c r="J18" s="4">
        <v>10</v>
      </c>
      <c r="L18" s="4">
        <v>10</v>
      </c>
      <c r="N18" s="4">
        <v>10</v>
      </c>
      <c r="P18" s="4">
        <v>10</v>
      </c>
      <c r="R18" s="4">
        <v>10</v>
      </c>
      <c r="S18" s="4">
        <v>10</v>
      </c>
      <c r="T18" s="4" t="s">
        <v>160</v>
      </c>
      <c r="U18" s="4">
        <v>10</v>
      </c>
      <c r="V18" s="4" t="s">
        <v>161</v>
      </c>
      <c r="W18" s="4">
        <v>10</v>
      </c>
      <c r="X18" s="4" t="s">
        <v>35</v>
      </c>
      <c r="Y18" s="4">
        <v>9</v>
      </c>
      <c r="Z18" s="4" t="s">
        <v>35</v>
      </c>
      <c r="AA18" s="4">
        <v>9</v>
      </c>
      <c r="AB18" s="4" t="s">
        <v>162</v>
      </c>
      <c r="AC18" s="11">
        <v>1</v>
      </c>
      <c r="AD18" s="18">
        <f t="shared" si="0"/>
        <v>10</v>
      </c>
      <c r="AE18" s="4" t="s">
        <v>163</v>
      </c>
      <c r="AF18" s="4" t="s">
        <v>155</v>
      </c>
      <c r="AG18" s="10">
        <v>10</v>
      </c>
      <c r="AH18" s="20">
        <v>3</v>
      </c>
      <c r="AI18" s="4" t="s">
        <v>164</v>
      </c>
      <c r="AJ18" s="4" t="s">
        <v>129</v>
      </c>
      <c r="AK18" s="4" t="s">
        <v>165</v>
      </c>
      <c r="AL18" s="4">
        <v>10</v>
      </c>
      <c r="AM18" s="4" t="s">
        <v>166</v>
      </c>
      <c r="AN18" s="4" t="s">
        <v>167</v>
      </c>
      <c r="AO18" s="4" t="s">
        <v>168</v>
      </c>
      <c r="AP18" s="4">
        <v>10</v>
      </c>
      <c r="AQ18" s="4" t="s">
        <v>169</v>
      </c>
      <c r="AR18" s="9">
        <v>10</v>
      </c>
    </row>
    <row r="19" spans="1:44" ht="12.5" x14ac:dyDescent="0.25">
      <c r="A19" s="2">
        <v>45363.970975543984</v>
      </c>
      <c r="B19" s="4">
        <v>10</v>
      </c>
      <c r="D19" s="4">
        <v>10</v>
      </c>
      <c r="F19" s="4">
        <v>10</v>
      </c>
      <c r="H19" s="4">
        <v>10</v>
      </c>
      <c r="J19" s="4">
        <v>10</v>
      </c>
      <c r="L19" s="4">
        <v>10</v>
      </c>
      <c r="N19" s="4">
        <v>10</v>
      </c>
      <c r="P19" s="4">
        <v>10</v>
      </c>
      <c r="R19" s="4">
        <v>10</v>
      </c>
      <c r="S19" s="4">
        <v>10</v>
      </c>
      <c r="U19" s="4">
        <v>10</v>
      </c>
      <c r="W19" s="4">
        <v>10</v>
      </c>
      <c r="X19" s="4" t="s">
        <v>170</v>
      </c>
      <c r="Y19" s="4">
        <v>5</v>
      </c>
      <c r="Z19" s="4" t="s">
        <v>170</v>
      </c>
      <c r="AA19" s="4">
        <v>5</v>
      </c>
      <c r="AB19" s="4" t="s">
        <v>26</v>
      </c>
      <c r="AC19" s="11">
        <v>3</v>
      </c>
      <c r="AD19" s="18">
        <f t="shared" si="0"/>
        <v>6</v>
      </c>
      <c r="AE19" s="4" t="s">
        <v>26</v>
      </c>
      <c r="AF19" s="4" t="s">
        <v>26</v>
      </c>
      <c r="AG19" s="10">
        <v>5</v>
      </c>
      <c r="AH19" s="20">
        <v>2</v>
      </c>
      <c r="AI19" s="4" t="s">
        <v>26</v>
      </c>
      <c r="AJ19" s="4" t="s">
        <v>26</v>
      </c>
      <c r="AK19" s="4" t="s">
        <v>26</v>
      </c>
      <c r="AL19" s="4">
        <v>5</v>
      </c>
      <c r="AM19" s="4" t="s">
        <v>26</v>
      </c>
      <c r="AN19" s="4" t="s">
        <v>26</v>
      </c>
      <c r="AO19" s="4" t="s">
        <v>26</v>
      </c>
      <c r="AP19" s="4">
        <v>5</v>
      </c>
      <c r="AQ19" s="4" t="s">
        <v>26</v>
      </c>
      <c r="AR19" s="9">
        <v>5</v>
      </c>
    </row>
    <row r="20" spans="1:44" ht="12.5" x14ac:dyDescent="0.25">
      <c r="A20" s="2">
        <v>45363.971617303236</v>
      </c>
      <c r="B20" s="4">
        <v>10</v>
      </c>
      <c r="D20" s="4">
        <v>10</v>
      </c>
      <c r="F20" s="4">
        <v>10</v>
      </c>
      <c r="H20" s="4">
        <v>10</v>
      </c>
      <c r="J20" s="4">
        <v>10</v>
      </c>
      <c r="L20" s="4">
        <v>10</v>
      </c>
      <c r="N20" s="4">
        <v>10</v>
      </c>
      <c r="P20" s="4">
        <v>10</v>
      </c>
      <c r="R20" s="4">
        <v>10</v>
      </c>
      <c r="S20" s="4">
        <v>10</v>
      </c>
      <c r="U20" s="4">
        <v>10</v>
      </c>
      <c r="W20" s="4">
        <v>10</v>
      </c>
      <c r="X20" s="4" t="s">
        <v>26</v>
      </c>
      <c r="Y20" s="4">
        <v>5</v>
      </c>
      <c r="Z20" s="4" t="s">
        <v>26</v>
      </c>
      <c r="AA20" s="4">
        <v>5</v>
      </c>
      <c r="AB20" s="4" t="s">
        <v>26</v>
      </c>
      <c r="AC20" s="11">
        <v>3</v>
      </c>
      <c r="AD20" s="18">
        <f t="shared" si="0"/>
        <v>6</v>
      </c>
      <c r="AE20" s="4" t="s">
        <v>26</v>
      </c>
      <c r="AF20" s="4" t="s">
        <v>26</v>
      </c>
      <c r="AG20" s="10">
        <v>5</v>
      </c>
      <c r="AH20" s="20">
        <v>2</v>
      </c>
      <c r="AI20" s="4" t="s">
        <v>26</v>
      </c>
      <c r="AJ20" s="4" t="s">
        <v>26</v>
      </c>
      <c r="AK20" s="4" t="s">
        <v>26</v>
      </c>
      <c r="AL20" s="4">
        <v>5</v>
      </c>
      <c r="AM20" s="4" t="s">
        <v>26</v>
      </c>
      <c r="AN20" s="4" t="s">
        <v>26</v>
      </c>
      <c r="AO20" s="4" t="s">
        <v>26</v>
      </c>
      <c r="AP20" s="4">
        <v>5</v>
      </c>
      <c r="AQ20" s="4" t="s">
        <v>26</v>
      </c>
      <c r="AR20" s="9">
        <v>5</v>
      </c>
    </row>
    <row r="21" spans="1:44" ht="12.5" x14ac:dyDescent="0.25">
      <c r="A21" s="2">
        <v>45363.972366689813</v>
      </c>
      <c r="B21" s="4">
        <v>10</v>
      </c>
      <c r="D21" s="4">
        <v>10</v>
      </c>
      <c r="F21" s="4">
        <v>10</v>
      </c>
      <c r="H21" s="4">
        <v>10</v>
      </c>
      <c r="J21" s="4">
        <v>10</v>
      </c>
      <c r="L21" s="4">
        <v>10</v>
      </c>
      <c r="N21" s="4">
        <v>10</v>
      </c>
      <c r="P21" s="4">
        <v>10</v>
      </c>
      <c r="R21" s="4">
        <v>10</v>
      </c>
      <c r="S21" s="4">
        <v>10</v>
      </c>
      <c r="U21" s="4">
        <v>10</v>
      </c>
      <c r="W21" s="4">
        <v>10</v>
      </c>
      <c r="X21" s="4" t="s">
        <v>26</v>
      </c>
      <c r="Y21" s="4">
        <v>5</v>
      </c>
      <c r="Z21" s="4" t="s">
        <v>26</v>
      </c>
      <c r="AA21" s="4">
        <v>5</v>
      </c>
      <c r="AB21" s="4" t="s">
        <v>26</v>
      </c>
      <c r="AC21" s="11">
        <v>3</v>
      </c>
      <c r="AD21" s="18">
        <f t="shared" si="0"/>
        <v>6</v>
      </c>
      <c r="AE21" s="4" t="s">
        <v>26</v>
      </c>
      <c r="AF21" s="4" t="s">
        <v>26</v>
      </c>
      <c r="AG21" s="10">
        <v>5</v>
      </c>
      <c r="AH21" s="20">
        <v>2</v>
      </c>
      <c r="AI21" s="4" t="s">
        <v>26</v>
      </c>
      <c r="AJ21" s="4" t="s">
        <v>26</v>
      </c>
      <c r="AK21" s="4" t="s">
        <v>26</v>
      </c>
      <c r="AL21" s="4">
        <v>5</v>
      </c>
      <c r="AM21" s="4" t="s">
        <v>26</v>
      </c>
      <c r="AN21" s="4" t="s">
        <v>26</v>
      </c>
      <c r="AO21" s="4" t="s">
        <v>26</v>
      </c>
      <c r="AP21" s="4">
        <v>5</v>
      </c>
      <c r="AQ21" s="4" t="s">
        <v>26</v>
      </c>
      <c r="AR21" s="9">
        <v>5</v>
      </c>
    </row>
    <row r="22" spans="1:44" ht="12.5" x14ac:dyDescent="0.25">
      <c r="A22" s="2">
        <v>45363.973400659721</v>
      </c>
      <c r="B22" s="4">
        <v>10</v>
      </c>
      <c r="D22" s="4">
        <v>10</v>
      </c>
      <c r="F22" s="4">
        <v>10</v>
      </c>
      <c r="H22" s="4">
        <v>10</v>
      </c>
      <c r="J22" s="4">
        <v>10</v>
      </c>
      <c r="L22" s="4">
        <v>10</v>
      </c>
      <c r="N22" s="4">
        <v>10</v>
      </c>
      <c r="P22" s="4">
        <v>10</v>
      </c>
      <c r="R22" s="4">
        <v>10</v>
      </c>
      <c r="S22" s="4">
        <v>10</v>
      </c>
      <c r="U22" s="4">
        <v>10</v>
      </c>
      <c r="W22" s="4">
        <v>10</v>
      </c>
      <c r="X22" s="4" t="s">
        <v>26</v>
      </c>
      <c r="Y22" s="4">
        <v>5</v>
      </c>
      <c r="Z22" s="4" t="s">
        <v>26</v>
      </c>
      <c r="AA22" s="4">
        <v>5</v>
      </c>
      <c r="AB22" s="4" t="s">
        <v>26</v>
      </c>
      <c r="AC22" s="11">
        <v>4</v>
      </c>
      <c r="AD22" s="18">
        <f t="shared" si="0"/>
        <v>4</v>
      </c>
      <c r="AE22" s="4" t="s">
        <v>26</v>
      </c>
      <c r="AF22" s="4" t="s">
        <v>26</v>
      </c>
      <c r="AG22" s="10">
        <v>5</v>
      </c>
      <c r="AH22" s="20">
        <v>2</v>
      </c>
      <c r="AI22" s="4" t="s">
        <v>26</v>
      </c>
      <c r="AJ22" s="4" t="s">
        <v>26</v>
      </c>
      <c r="AK22" s="4" t="s">
        <v>26</v>
      </c>
      <c r="AL22" s="4">
        <v>5</v>
      </c>
      <c r="AM22" s="4" t="s">
        <v>26</v>
      </c>
      <c r="AN22" s="4" t="s">
        <v>26</v>
      </c>
      <c r="AO22" s="4" t="s">
        <v>26</v>
      </c>
      <c r="AP22" s="4">
        <v>5</v>
      </c>
      <c r="AQ22" s="4" t="s">
        <v>26</v>
      </c>
      <c r="AR22" s="9">
        <v>5</v>
      </c>
    </row>
    <row r="23" spans="1:44" ht="12.5" x14ac:dyDescent="0.25">
      <c r="A23" s="2">
        <v>45363.974083136578</v>
      </c>
      <c r="B23" s="4">
        <v>10</v>
      </c>
      <c r="D23" s="4">
        <v>10</v>
      </c>
      <c r="F23" s="4">
        <v>10</v>
      </c>
      <c r="H23" s="4">
        <v>10</v>
      </c>
      <c r="J23" s="4">
        <v>10</v>
      </c>
      <c r="L23" s="4">
        <v>10</v>
      </c>
      <c r="N23" s="4">
        <v>10</v>
      </c>
      <c r="P23" s="4">
        <v>10</v>
      </c>
      <c r="R23" s="4">
        <v>10</v>
      </c>
      <c r="S23" s="4">
        <v>10</v>
      </c>
      <c r="U23" s="4">
        <v>10</v>
      </c>
      <c r="W23" s="4">
        <v>10</v>
      </c>
      <c r="X23" s="4" t="s">
        <v>26</v>
      </c>
      <c r="Y23" s="4">
        <v>5</v>
      </c>
      <c r="Z23" s="4" t="s">
        <v>26</v>
      </c>
      <c r="AA23" s="4">
        <v>5</v>
      </c>
      <c r="AB23" s="4" t="s">
        <v>26</v>
      </c>
      <c r="AC23" s="11">
        <v>4</v>
      </c>
      <c r="AD23" s="18">
        <f t="shared" si="0"/>
        <v>4</v>
      </c>
      <c r="AE23" s="4" t="s">
        <v>26</v>
      </c>
      <c r="AF23" s="4" t="s">
        <v>26</v>
      </c>
      <c r="AG23" s="10">
        <v>5</v>
      </c>
      <c r="AH23" s="20">
        <v>2</v>
      </c>
      <c r="AI23" s="4" t="s">
        <v>26</v>
      </c>
      <c r="AJ23" s="4" t="s">
        <v>26</v>
      </c>
      <c r="AK23" s="4" t="s">
        <v>26</v>
      </c>
      <c r="AL23" s="4">
        <v>5</v>
      </c>
      <c r="AM23" s="4" t="s">
        <v>26</v>
      </c>
      <c r="AN23" s="4" t="s">
        <v>26</v>
      </c>
      <c r="AO23" s="4" t="s">
        <v>26</v>
      </c>
      <c r="AP23" s="4">
        <v>5</v>
      </c>
      <c r="AQ23" s="4" t="s">
        <v>26</v>
      </c>
      <c r="AR23" s="9">
        <v>5</v>
      </c>
    </row>
    <row r="24" spans="1:44" ht="12.5" x14ac:dyDescent="0.25">
      <c r="A24" s="2">
        <v>45363.974777106487</v>
      </c>
      <c r="B24" s="4">
        <v>10</v>
      </c>
      <c r="D24" s="4">
        <v>10</v>
      </c>
      <c r="F24" s="4">
        <v>10</v>
      </c>
      <c r="H24" s="4">
        <v>10</v>
      </c>
      <c r="J24" s="4">
        <v>10</v>
      </c>
      <c r="L24" s="4">
        <v>10</v>
      </c>
      <c r="N24" s="4">
        <v>10</v>
      </c>
      <c r="P24" s="4">
        <v>10</v>
      </c>
      <c r="R24" s="4">
        <v>10</v>
      </c>
      <c r="S24" s="4">
        <v>10</v>
      </c>
      <c r="U24" s="4">
        <v>10</v>
      </c>
      <c r="W24" s="4">
        <v>10</v>
      </c>
      <c r="X24" s="4" t="s">
        <v>26</v>
      </c>
      <c r="Y24" s="4">
        <v>5</v>
      </c>
      <c r="Z24" s="4" t="s">
        <v>26</v>
      </c>
      <c r="AA24" s="4">
        <v>5</v>
      </c>
      <c r="AB24" s="4" t="s">
        <v>26</v>
      </c>
      <c r="AC24" s="11">
        <v>4</v>
      </c>
      <c r="AD24" s="18">
        <f t="shared" si="0"/>
        <v>4</v>
      </c>
      <c r="AE24" s="4" t="s">
        <v>26</v>
      </c>
      <c r="AF24" s="4" t="s">
        <v>26</v>
      </c>
      <c r="AG24" s="10">
        <v>5</v>
      </c>
      <c r="AH24" s="20">
        <v>2</v>
      </c>
      <c r="AI24" s="4" t="s">
        <v>26</v>
      </c>
      <c r="AJ24" s="4" t="s">
        <v>26</v>
      </c>
      <c r="AK24" s="4" t="s">
        <v>26</v>
      </c>
      <c r="AL24" s="4">
        <v>5</v>
      </c>
      <c r="AM24" s="4" t="s">
        <v>26</v>
      </c>
      <c r="AN24" s="4" t="s">
        <v>26</v>
      </c>
      <c r="AO24" s="4" t="s">
        <v>26</v>
      </c>
      <c r="AP24" s="4">
        <v>5</v>
      </c>
      <c r="AQ24" s="4" t="s">
        <v>26</v>
      </c>
      <c r="AR24" s="9">
        <v>5</v>
      </c>
    </row>
    <row r="26" spans="1:44" ht="15.75" customHeight="1" x14ac:dyDescent="0.25">
      <c r="A26" t="s">
        <v>171</v>
      </c>
      <c r="B26">
        <f>AVERAGE(B3:B24)</f>
        <v>8.3181818181818183</v>
      </c>
      <c r="C26" t="e">
        <f t="shared" ref="C26:AR26" si="1">AVERAGE(C3:C24)</f>
        <v>#DIV/0!</v>
      </c>
      <c r="D26">
        <f t="shared" si="1"/>
        <v>9.045454545454545</v>
      </c>
      <c r="E26" t="e">
        <f t="shared" si="1"/>
        <v>#DIV/0!</v>
      </c>
      <c r="F26">
        <f t="shared" si="1"/>
        <v>8.1818181818181817</v>
      </c>
      <c r="G26" t="e">
        <f t="shared" si="1"/>
        <v>#DIV/0!</v>
      </c>
      <c r="H26">
        <f t="shared" si="1"/>
        <v>9</v>
      </c>
      <c r="I26" t="e">
        <f t="shared" si="1"/>
        <v>#DIV/0!</v>
      </c>
      <c r="J26">
        <f t="shared" si="1"/>
        <v>9.2272727272727266</v>
      </c>
      <c r="K26" t="e">
        <f t="shared" si="1"/>
        <v>#DIV/0!</v>
      </c>
      <c r="L26">
        <f t="shared" si="1"/>
        <v>8.545454545454545</v>
      </c>
      <c r="M26" t="e">
        <f t="shared" si="1"/>
        <v>#DIV/0!</v>
      </c>
      <c r="N26">
        <f t="shared" si="1"/>
        <v>8.5</v>
      </c>
      <c r="O26" t="e">
        <f t="shared" si="1"/>
        <v>#DIV/0!</v>
      </c>
      <c r="P26">
        <f t="shared" si="1"/>
        <v>8.7272727272727266</v>
      </c>
      <c r="Q26" t="e">
        <f t="shared" si="1"/>
        <v>#DIV/0!</v>
      </c>
      <c r="R26">
        <f t="shared" si="1"/>
        <v>9.3181818181818183</v>
      </c>
      <c r="S26">
        <f t="shared" si="1"/>
        <v>9.6363636363636367</v>
      </c>
      <c r="T26" t="e">
        <f t="shared" si="1"/>
        <v>#DIV/0!</v>
      </c>
      <c r="U26">
        <f t="shared" si="1"/>
        <v>9.8636363636363633</v>
      </c>
      <c r="V26" t="e">
        <f t="shared" si="1"/>
        <v>#DIV/0!</v>
      </c>
      <c r="W26">
        <f t="shared" si="1"/>
        <v>9.6363636363636367</v>
      </c>
      <c r="X26" t="e">
        <f t="shared" si="1"/>
        <v>#DIV/0!</v>
      </c>
      <c r="Y26">
        <f t="shared" si="1"/>
        <v>7.6363636363636367</v>
      </c>
      <c r="Z26" t="e">
        <f t="shared" si="1"/>
        <v>#DIV/0!</v>
      </c>
      <c r="AA26">
        <f t="shared" si="1"/>
        <v>7.4545454545454541</v>
      </c>
      <c r="AB26" t="e">
        <f t="shared" si="1"/>
        <v>#DIV/0!</v>
      </c>
      <c r="AD26">
        <f t="shared" ref="AD26" si="2">AVERAGE(AD3:AD24)</f>
        <v>8.2727272727272734</v>
      </c>
      <c r="AE26" t="e">
        <f t="shared" si="1"/>
        <v>#DIV/0!</v>
      </c>
      <c r="AF26" t="e">
        <f t="shared" si="1"/>
        <v>#DIV/0!</v>
      </c>
      <c r="AG26">
        <f t="shared" si="1"/>
        <v>7.4545454545454541</v>
      </c>
      <c r="AH26">
        <f>10*AVERAGE(AH3:AH24)/3</f>
        <v>7.7272727272727275</v>
      </c>
      <c r="AI26" t="e">
        <f t="shared" si="1"/>
        <v>#DIV/0!</v>
      </c>
      <c r="AJ26" t="e">
        <f t="shared" si="1"/>
        <v>#DIV/0!</v>
      </c>
      <c r="AK26" t="e">
        <f t="shared" si="1"/>
        <v>#DIV/0!</v>
      </c>
      <c r="AL26">
        <f t="shared" si="1"/>
        <v>7.4545454545454541</v>
      </c>
      <c r="AM26" t="e">
        <f t="shared" si="1"/>
        <v>#DIV/0!</v>
      </c>
      <c r="AN26" t="e">
        <f t="shared" si="1"/>
        <v>#DIV/0!</v>
      </c>
      <c r="AO26" t="e">
        <f t="shared" si="1"/>
        <v>#DIV/0!</v>
      </c>
      <c r="AP26">
        <f t="shared" si="1"/>
        <v>8.545454545454545</v>
      </c>
      <c r="AQ26" t="e">
        <f t="shared" si="1"/>
        <v>#DIV/0!</v>
      </c>
      <c r="AR26">
        <f t="shared" si="1"/>
        <v>7.6363636363636367</v>
      </c>
    </row>
    <row r="27" spans="1:44" ht="15.75" customHeight="1" x14ac:dyDescent="0.25">
      <c r="A27" t="s">
        <v>172</v>
      </c>
      <c r="B27">
        <f>_xlfn.STDEV.S(B3:B24)</f>
        <v>2.1905938233048357</v>
      </c>
      <c r="C27" t="e">
        <f t="shared" ref="C27:AR27" si="3">_xlfn.STDEV.S(C3:C24)</f>
        <v>#DIV/0!</v>
      </c>
      <c r="D27">
        <f t="shared" si="3"/>
        <v>1.7855844108615224</v>
      </c>
      <c r="E27" t="e">
        <f t="shared" si="3"/>
        <v>#DIV/0!</v>
      </c>
      <c r="F27">
        <f t="shared" si="3"/>
        <v>2.2811100813996688</v>
      </c>
      <c r="G27" t="e">
        <f t="shared" si="3"/>
        <v>#DIV/0!</v>
      </c>
      <c r="H27">
        <f t="shared" si="3"/>
        <v>1.5735915849388864</v>
      </c>
      <c r="I27" t="e">
        <f t="shared" si="3"/>
        <v>#DIV/0!</v>
      </c>
      <c r="J27">
        <f t="shared" si="3"/>
        <v>2.0686277526951953</v>
      </c>
      <c r="K27" t="e">
        <f t="shared" si="3"/>
        <v>#DIV/0!</v>
      </c>
      <c r="L27">
        <f t="shared" si="3"/>
        <v>2.2620528545732785</v>
      </c>
      <c r="M27" t="e">
        <f t="shared" si="3"/>
        <v>#DIV/0!</v>
      </c>
      <c r="N27">
        <f t="shared" si="3"/>
        <v>2.5773740789526736</v>
      </c>
      <c r="O27" t="e">
        <f t="shared" si="3"/>
        <v>#DIV/0!</v>
      </c>
      <c r="P27">
        <f t="shared" si="3"/>
        <v>2.3336425274423331</v>
      </c>
      <c r="Q27" t="e">
        <f t="shared" si="3"/>
        <v>#DIV/0!</v>
      </c>
      <c r="R27">
        <f t="shared" si="3"/>
        <v>2.0091780749342592</v>
      </c>
      <c r="S27">
        <f t="shared" si="3"/>
        <v>1.0021621646864345</v>
      </c>
      <c r="T27" t="e">
        <f t="shared" si="3"/>
        <v>#DIV/0!</v>
      </c>
      <c r="U27">
        <f t="shared" si="3"/>
        <v>0.63960214906683133</v>
      </c>
      <c r="V27" t="e">
        <f t="shared" si="3"/>
        <v>#DIV/0!</v>
      </c>
      <c r="W27">
        <f t="shared" si="3"/>
        <v>1.3289972784899757</v>
      </c>
      <c r="X27" t="e">
        <f t="shared" si="3"/>
        <v>#DIV/0!</v>
      </c>
      <c r="Y27">
        <f t="shared" si="3"/>
        <v>1.9650628136199255</v>
      </c>
      <c r="Z27" t="e">
        <f t="shared" si="3"/>
        <v>#DIV/0!</v>
      </c>
      <c r="AA27">
        <f t="shared" si="3"/>
        <v>1.8186146670912202</v>
      </c>
      <c r="AB27" t="e">
        <f t="shared" si="3"/>
        <v>#DIV/0!</v>
      </c>
      <c r="AD27">
        <f t="shared" ref="AD27" si="4">_xlfn.STDEV.S(AD3:AD24)</f>
        <v>2.7112080979978916</v>
      </c>
      <c r="AE27" t="e">
        <f t="shared" si="3"/>
        <v>#DIV/0!</v>
      </c>
      <c r="AF27" t="e">
        <f t="shared" si="3"/>
        <v>#DIV/0!</v>
      </c>
      <c r="AG27">
        <f t="shared" si="3"/>
        <v>1.8446130766633431</v>
      </c>
      <c r="AH27">
        <f>10*_xlfn.STDEV.S(AH3:AH24)/3</f>
        <v>2.3874370567316947</v>
      </c>
      <c r="AI27" t="e">
        <f t="shared" si="3"/>
        <v>#DIV/0!</v>
      </c>
      <c r="AJ27" t="e">
        <f t="shared" si="3"/>
        <v>#DIV/0!</v>
      </c>
      <c r="AK27" t="e">
        <f t="shared" si="3"/>
        <v>#DIV/0!</v>
      </c>
      <c r="AL27">
        <f t="shared" si="3"/>
        <v>2.1542266920388493</v>
      </c>
      <c r="AM27" t="e">
        <f t="shared" si="3"/>
        <v>#DIV/0!</v>
      </c>
      <c r="AN27" t="e">
        <f t="shared" si="3"/>
        <v>#DIV/0!</v>
      </c>
      <c r="AO27" t="e">
        <f t="shared" si="3"/>
        <v>#DIV/0!</v>
      </c>
      <c r="AP27">
        <f t="shared" si="3"/>
        <v>2.2620528545732785</v>
      </c>
      <c r="AQ27" t="e">
        <f t="shared" si="3"/>
        <v>#DIV/0!</v>
      </c>
      <c r="AR27">
        <f t="shared" si="3"/>
        <v>1.9406786870148707</v>
      </c>
    </row>
    <row r="29" spans="1:44" ht="15.75" customHeight="1" x14ac:dyDescent="0.25">
      <c r="Q29" t="s">
        <v>184</v>
      </c>
      <c r="R29" t="s">
        <v>186</v>
      </c>
    </row>
    <row r="30" spans="1:44" ht="15.75" customHeight="1" thickBot="1" x14ac:dyDescent="0.3">
      <c r="H30" s="14"/>
      <c r="Q30" t="s">
        <v>185</v>
      </c>
    </row>
    <row r="31" spans="1:44" ht="15.75" customHeight="1" thickBot="1" x14ac:dyDescent="0.3">
      <c r="H31" s="15" t="s">
        <v>260</v>
      </c>
      <c r="I31" t="s">
        <v>264</v>
      </c>
      <c r="J31" t="s">
        <v>261</v>
      </c>
      <c r="K31" t="s">
        <v>263</v>
      </c>
      <c r="L31" t="s">
        <v>262</v>
      </c>
      <c r="M31" t="s">
        <v>265</v>
      </c>
      <c r="Q31" s="5" t="s">
        <v>173</v>
      </c>
      <c r="R31" s="6" t="s">
        <v>174</v>
      </c>
      <c r="S31" s="6" t="s">
        <v>172</v>
      </c>
      <c r="T31" s="21" t="s">
        <v>175</v>
      </c>
      <c r="U31" s="21" t="s">
        <v>176</v>
      </c>
    </row>
    <row r="32" spans="1:44" ht="15.75" customHeight="1" thickBot="1" x14ac:dyDescent="0.3">
      <c r="G32">
        <v>1</v>
      </c>
      <c r="H32">
        <f>COUNTIF($H$3:$H$24,G32)</f>
        <v>0</v>
      </c>
      <c r="I32" s="60"/>
      <c r="J32">
        <f t="shared" ref="J32:J41" si="5">COUNTIF($J$3:$J$24,G32)</f>
        <v>1</v>
      </c>
      <c r="K32" s="60">
        <f>J32/22</f>
        <v>4.5454545454545456E-2</v>
      </c>
      <c r="L32">
        <f t="shared" ref="L32:L41" si="6">COUNTIF($L$3:$L$24,G32)</f>
        <v>1</v>
      </c>
      <c r="M32" s="60">
        <f>L32/22</f>
        <v>4.5454545454545456E-2</v>
      </c>
      <c r="Q32" s="7" t="s">
        <v>177</v>
      </c>
      <c r="R32" s="8">
        <v>8.5</v>
      </c>
      <c r="S32" s="8">
        <v>2.57</v>
      </c>
      <c r="T32" s="8">
        <v>0.53500000000000003</v>
      </c>
      <c r="U32" s="8">
        <v>1.0500000000000001E-2</v>
      </c>
    </row>
    <row r="33" spans="2:21" ht="15.75" customHeight="1" thickBot="1" x14ac:dyDescent="0.3">
      <c r="G33">
        <v>2</v>
      </c>
      <c r="H33">
        <f t="shared" ref="H33:H41" si="7">COUNTIF($H$3:$H$24,G33)</f>
        <v>0</v>
      </c>
      <c r="I33" s="60"/>
      <c r="J33">
        <f t="shared" si="5"/>
        <v>0</v>
      </c>
      <c r="K33" s="60"/>
      <c r="L33">
        <f t="shared" si="6"/>
        <v>0</v>
      </c>
      <c r="M33" s="60"/>
      <c r="Q33" s="7" t="s">
        <v>178</v>
      </c>
      <c r="R33" s="8">
        <v>8.7200000000000006</v>
      </c>
      <c r="S33" s="8">
        <v>2.33</v>
      </c>
      <c r="T33" s="8">
        <v>0.48599999999999999</v>
      </c>
      <c r="U33" s="8">
        <v>1.8E-3</v>
      </c>
    </row>
    <row r="34" spans="2:21" ht="15.75" customHeight="1" thickBot="1" x14ac:dyDescent="0.3">
      <c r="G34">
        <v>3</v>
      </c>
      <c r="H34">
        <f t="shared" si="7"/>
        <v>0</v>
      </c>
      <c r="I34" s="60"/>
      <c r="J34">
        <f t="shared" si="5"/>
        <v>0</v>
      </c>
      <c r="K34" s="60"/>
      <c r="L34">
        <f t="shared" si="6"/>
        <v>0</v>
      </c>
      <c r="M34" s="60"/>
      <c r="Q34" s="7" t="s">
        <v>179</v>
      </c>
      <c r="R34" s="8">
        <v>9.86</v>
      </c>
      <c r="S34" s="8">
        <v>0.63</v>
      </c>
      <c r="T34" s="8">
        <v>0.13</v>
      </c>
      <c r="U34" s="8">
        <v>1E-4</v>
      </c>
    </row>
    <row r="35" spans="2:21" ht="15.75" customHeight="1" thickBot="1" x14ac:dyDescent="0.3">
      <c r="G35">
        <v>4</v>
      </c>
      <c r="H35">
        <f t="shared" si="7"/>
        <v>0</v>
      </c>
      <c r="I35" s="60"/>
      <c r="J35">
        <f t="shared" si="5"/>
        <v>0</v>
      </c>
      <c r="K35" s="60"/>
      <c r="L35">
        <f t="shared" si="6"/>
        <v>1</v>
      </c>
      <c r="M35" s="60">
        <f t="shared" ref="M35" si="8">L35/22</f>
        <v>4.5454545454545456E-2</v>
      </c>
      <c r="Q35" s="7" t="s">
        <v>180</v>
      </c>
      <c r="R35" s="8">
        <v>9.6300000000000008</v>
      </c>
      <c r="S35" s="8">
        <v>1.32</v>
      </c>
      <c r="T35" s="8">
        <v>0.27500000000000002</v>
      </c>
      <c r="U35" s="8">
        <v>1E-4</v>
      </c>
    </row>
    <row r="36" spans="2:21" ht="15.75" customHeight="1" x14ac:dyDescent="0.25">
      <c r="G36">
        <v>5</v>
      </c>
      <c r="H36">
        <f t="shared" si="7"/>
        <v>1</v>
      </c>
      <c r="I36" s="60">
        <f t="shared" ref="I36:K41" si="9">H36/22</f>
        <v>4.5454545454545456E-2</v>
      </c>
      <c r="J36">
        <f t="shared" si="5"/>
        <v>0</v>
      </c>
      <c r="K36" s="60"/>
      <c r="L36">
        <f t="shared" si="6"/>
        <v>0</v>
      </c>
      <c r="M36" s="60"/>
    </row>
    <row r="37" spans="2:21" ht="15.75" customHeight="1" x14ac:dyDescent="0.25">
      <c r="G37">
        <v>6</v>
      </c>
      <c r="H37">
        <f t="shared" si="7"/>
        <v>2</v>
      </c>
      <c r="I37" s="60">
        <f t="shared" si="9"/>
        <v>9.0909090909090912E-2</v>
      </c>
      <c r="J37">
        <f t="shared" si="5"/>
        <v>1</v>
      </c>
      <c r="K37" s="60">
        <f t="shared" si="9"/>
        <v>4.5454545454545456E-2</v>
      </c>
      <c r="L37">
        <f t="shared" si="6"/>
        <v>0</v>
      </c>
      <c r="M37" s="60"/>
    </row>
    <row r="38" spans="2:21" ht="15.75" customHeight="1" x14ac:dyDescent="0.25">
      <c r="G38">
        <v>7</v>
      </c>
      <c r="H38">
        <f t="shared" si="7"/>
        <v>0</v>
      </c>
      <c r="I38" s="60"/>
      <c r="J38">
        <f t="shared" si="5"/>
        <v>0</v>
      </c>
      <c r="K38" s="60"/>
      <c r="L38">
        <f t="shared" si="6"/>
        <v>2</v>
      </c>
      <c r="M38" s="60">
        <f t="shared" ref="M38" si="10">L38/22</f>
        <v>9.0909090909090912E-2</v>
      </c>
      <c r="R38">
        <f>AVERAGE(R32:R35)</f>
        <v>9.1775000000000002</v>
      </c>
    </row>
    <row r="39" spans="2:21" ht="15.75" customHeight="1" x14ac:dyDescent="0.25">
      <c r="G39">
        <v>8</v>
      </c>
      <c r="H39">
        <f t="shared" si="7"/>
        <v>4</v>
      </c>
      <c r="I39" s="60">
        <f t="shared" si="9"/>
        <v>0.18181818181818182</v>
      </c>
      <c r="J39">
        <f t="shared" si="5"/>
        <v>1</v>
      </c>
      <c r="K39" s="60">
        <f t="shared" si="9"/>
        <v>4.5454545454545456E-2</v>
      </c>
      <c r="L39">
        <f t="shared" si="6"/>
        <v>4</v>
      </c>
      <c r="M39" s="60">
        <f t="shared" ref="M39" si="11">L39/22</f>
        <v>0.18181818181818182</v>
      </c>
    </row>
    <row r="40" spans="2:21" ht="15.75" customHeight="1" x14ac:dyDescent="0.25">
      <c r="G40">
        <v>9</v>
      </c>
      <c r="H40">
        <f t="shared" si="7"/>
        <v>1</v>
      </c>
      <c r="I40" s="60">
        <f t="shared" si="9"/>
        <v>4.5454545454545456E-2</v>
      </c>
      <c r="J40">
        <f t="shared" si="5"/>
        <v>2</v>
      </c>
      <c r="K40" s="60">
        <f t="shared" si="9"/>
        <v>9.0909090909090912E-2</v>
      </c>
      <c r="L40">
        <f t="shared" si="6"/>
        <v>3</v>
      </c>
      <c r="M40" s="60">
        <f t="shared" ref="M40" si="12">L40/22</f>
        <v>0.13636363636363635</v>
      </c>
    </row>
    <row r="41" spans="2:21" ht="15.75" customHeight="1" x14ac:dyDescent="0.25">
      <c r="G41">
        <v>10</v>
      </c>
      <c r="H41">
        <f t="shared" si="7"/>
        <v>14</v>
      </c>
      <c r="I41" s="60">
        <f t="shared" si="9"/>
        <v>0.63636363636363635</v>
      </c>
      <c r="J41">
        <f t="shared" si="5"/>
        <v>17</v>
      </c>
      <c r="K41" s="60">
        <f t="shared" si="9"/>
        <v>0.77272727272727271</v>
      </c>
      <c r="L41">
        <f t="shared" si="6"/>
        <v>11</v>
      </c>
      <c r="M41" s="60">
        <f t="shared" ref="M41" si="13">L41/22</f>
        <v>0.5</v>
      </c>
    </row>
    <row r="45" spans="2:21" ht="15.75" customHeight="1" x14ac:dyDescent="0.25">
      <c r="H45" t="s">
        <v>267</v>
      </c>
      <c r="I45" t="s">
        <v>268</v>
      </c>
      <c r="J45" t="s">
        <v>269</v>
      </c>
      <c r="L45" t="s">
        <v>270</v>
      </c>
    </row>
    <row r="46" spans="2:21" ht="15.75" customHeight="1" x14ac:dyDescent="0.25">
      <c r="G46">
        <v>1</v>
      </c>
      <c r="H46">
        <f>COUNTIF($N$3:$N$24,G46)</f>
        <v>1</v>
      </c>
      <c r="I46" s="60">
        <f>H46/22</f>
        <v>4.5454545454545456E-2</v>
      </c>
      <c r="J46">
        <f>COUNTIF($P$3:$P$24,G46)</f>
        <v>1</v>
      </c>
      <c r="K46" s="60">
        <f>J46/22</f>
        <v>4.5454545454545456E-2</v>
      </c>
      <c r="L46">
        <f>COUNTIF($R$3:$R$24,G46)</f>
        <v>1</v>
      </c>
      <c r="M46" s="60">
        <f>L46/22</f>
        <v>4.5454545454545456E-2</v>
      </c>
    </row>
    <row r="47" spans="2:21" ht="15.75" customHeight="1" x14ac:dyDescent="0.25">
      <c r="B47" t="s">
        <v>266</v>
      </c>
      <c r="G47">
        <v>2</v>
      </c>
      <c r="H47">
        <f t="shared" ref="H47:H55" si="14">COUNTIF($N$3:$N$24,G47)</f>
        <v>0</v>
      </c>
      <c r="I47" s="60" t="s">
        <v>61</v>
      </c>
      <c r="J47">
        <f t="shared" ref="J47:J55" si="15">COUNTIF($P$3:$P$24,G47)</f>
        <v>0</v>
      </c>
      <c r="K47" s="60" t="s">
        <v>61</v>
      </c>
      <c r="L47">
        <f t="shared" ref="L47:L55" si="16">COUNTIF($R$3:$R$24,G47)</f>
        <v>0</v>
      </c>
      <c r="M47" s="60" t="s">
        <v>61</v>
      </c>
    </row>
    <row r="48" spans="2:21" ht="15.75" customHeight="1" x14ac:dyDescent="0.25">
      <c r="G48">
        <v>3</v>
      </c>
      <c r="H48">
        <f t="shared" si="14"/>
        <v>1</v>
      </c>
      <c r="I48" s="60">
        <f t="shared" ref="I48:I55" si="17">H48/22</f>
        <v>4.5454545454545456E-2</v>
      </c>
      <c r="J48">
        <f t="shared" si="15"/>
        <v>0</v>
      </c>
      <c r="K48" s="60" t="s">
        <v>61</v>
      </c>
      <c r="L48">
        <f t="shared" si="16"/>
        <v>0</v>
      </c>
      <c r="M48" s="60"/>
    </row>
    <row r="49" spans="7:13" ht="15.75" customHeight="1" x14ac:dyDescent="0.25">
      <c r="G49">
        <v>4</v>
      </c>
      <c r="H49">
        <f t="shared" si="14"/>
        <v>0</v>
      </c>
      <c r="I49" s="60" t="s">
        <v>61</v>
      </c>
      <c r="J49">
        <f t="shared" si="15"/>
        <v>1</v>
      </c>
      <c r="K49" s="60">
        <f t="shared" ref="K49:K55" si="18">J49/22</f>
        <v>4.5454545454545456E-2</v>
      </c>
      <c r="L49">
        <f t="shared" si="16"/>
        <v>0</v>
      </c>
      <c r="M49" s="60"/>
    </row>
    <row r="50" spans="7:13" ht="15.75" customHeight="1" x14ac:dyDescent="0.25">
      <c r="G50">
        <v>5</v>
      </c>
      <c r="H50">
        <f t="shared" si="14"/>
        <v>1</v>
      </c>
      <c r="I50" s="60">
        <f t="shared" si="17"/>
        <v>4.5454545454545456E-2</v>
      </c>
      <c r="J50">
        <f t="shared" si="15"/>
        <v>0</v>
      </c>
      <c r="K50" s="60" t="s">
        <v>61</v>
      </c>
      <c r="L50">
        <f t="shared" si="16"/>
        <v>0</v>
      </c>
      <c r="M50" s="60"/>
    </row>
    <row r="51" spans="7:13" ht="15.75" customHeight="1" x14ac:dyDescent="0.25">
      <c r="G51">
        <v>6</v>
      </c>
      <c r="H51">
        <f t="shared" si="14"/>
        <v>1</v>
      </c>
      <c r="I51" s="60">
        <f t="shared" si="17"/>
        <v>4.5454545454545456E-2</v>
      </c>
      <c r="J51">
        <f t="shared" si="15"/>
        <v>0</v>
      </c>
      <c r="K51" s="60" t="s">
        <v>61</v>
      </c>
      <c r="L51">
        <f t="shared" si="16"/>
        <v>0</v>
      </c>
      <c r="M51" s="60"/>
    </row>
    <row r="52" spans="7:13" ht="15.75" customHeight="1" x14ac:dyDescent="0.25">
      <c r="G52">
        <v>7</v>
      </c>
      <c r="H52">
        <f t="shared" si="14"/>
        <v>1</v>
      </c>
      <c r="I52" s="60">
        <f t="shared" si="17"/>
        <v>4.5454545454545456E-2</v>
      </c>
      <c r="J52">
        <f t="shared" si="15"/>
        <v>3</v>
      </c>
      <c r="K52" s="60">
        <f t="shared" si="18"/>
        <v>0.13636363636363635</v>
      </c>
      <c r="L52">
        <f t="shared" si="16"/>
        <v>1</v>
      </c>
      <c r="M52" s="60">
        <f t="shared" ref="M52:M55" si="19">L52/22</f>
        <v>4.5454545454545456E-2</v>
      </c>
    </row>
    <row r="53" spans="7:13" ht="15.75" customHeight="1" x14ac:dyDescent="0.25">
      <c r="G53">
        <v>8</v>
      </c>
      <c r="H53">
        <f t="shared" si="14"/>
        <v>2</v>
      </c>
      <c r="I53" s="60">
        <f t="shared" si="17"/>
        <v>9.0909090909090912E-2</v>
      </c>
      <c r="J53">
        <f t="shared" si="15"/>
        <v>1</v>
      </c>
      <c r="K53" s="60">
        <f t="shared" si="18"/>
        <v>4.5454545454545456E-2</v>
      </c>
      <c r="L53">
        <f t="shared" si="16"/>
        <v>1</v>
      </c>
      <c r="M53" s="60">
        <f t="shared" si="19"/>
        <v>4.5454545454545456E-2</v>
      </c>
    </row>
    <row r="54" spans="7:13" ht="15.75" customHeight="1" x14ac:dyDescent="0.25">
      <c r="G54">
        <v>9</v>
      </c>
      <c r="H54">
        <f t="shared" si="14"/>
        <v>1</v>
      </c>
      <c r="I54" s="60">
        <f t="shared" si="17"/>
        <v>4.5454545454545456E-2</v>
      </c>
      <c r="J54">
        <f t="shared" si="15"/>
        <v>2</v>
      </c>
      <c r="K54" s="60">
        <f t="shared" si="18"/>
        <v>9.0909090909090912E-2</v>
      </c>
      <c r="L54">
        <f t="shared" si="16"/>
        <v>1</v>
      </c>
      <c r="M54" s="60">
        <f t="shared" si="19"/>
        <v>4.5454545454545456E-2</v>
      </c>
    </row>
    <row r="55" spans="7:13" ht="15.75" customHeight="1" x14ac:dyDescent="0.25">
      <c r="G55">
        <v>10</v>
      </c>
      <c r="H55">
        <f t="shared" si="14"/>
        <v>14</v>
      </c>
      <c r="I55" s="60">
        <f t="shared" si="17"/>
        <v>0.63636363636363635</v>
      </c>
      <c r="J55">
        <f t="shared" si="15"/>
        <v>14</v>
      </c>
      <c r="K55" s="60">
        <f t="shared" si="18"/>
        <v>0.63636363636363635</v>
      </c>
      <c r="L55">
        <f t="shared" si="16"/>
        <v>18</v>
      </c>
      <c r="M55" s="60">
        <f t="shared" si="19"/>
        <v>0.81818181818181823</v>
      </c>
    </row>
    <row r="62" spans="7:13" ht="15.75" customHeight="1" x14ac:dyDescent="0.25">
      <c r="H62" t="s">
        <v>271</v>
      </c>
      <c r="I62" t="s">
        <v>268</v>
      </c>
      <c r="J62" t="s">
        <v>272</v>
      </c>
      <c r="K62" t="s">
        <v>268</v>
      </c>
      <c r="L62" t="s">
        <v>273</v>
      </c>
      <c r="M62" t="s">
        <v>268</v>
      </c>
    </row>
    <row r="63" spans="7:13" ht="15.75" customHeight="1" x14ac:dyDescent="0.25">
      <c r="G63">
        <v>1</v>
      </c>
      <c r="H63">
        <f>COUNTIF($B$3:$B$24,G63)</f>
        <v>0</v>
      </c>
      <c r="I63" s="60"/>
      <c r="J63">
        <f>COUNTIF($D$3:$D$24,G63)</f>
        <v>0</v>
      </c>
      <c r="K63" s="60"/>
      <c r="L63">
        <f>COUNTIF($F$3:$F$24,G63)</f>
        <v>0</v>
      </c>
      <c r="M63" s="60" t="s">
        <v>61</v>
      </c>
    </row>
    <row r="64" spans="7:13" ht="15.75" customHeight="1" x14ac:dyDescent="0.25">
      <c r="G64">
        <v>2</v>
      </c>
      <c r="H64">
        <f t="shared" ref="H64:H72" si="20">COUNTIF($B$3:$B$24,G64)</f>
        <v>0</v>
      </c>
      <c r="I64" s="60"/>
      <c r="J64">
        <f t="shared" ref="J64:J72" si="21">COUNTIF($D$3:$D$24,G64)</f>
        <v>0</v>
      </c>
      <c r="K64" s="60"/>
      <c r="L64">
        <f t="shared" ref="L64:L72" si="22">COUNTIF($F$3:$F$24,G64)</f>
        <v>1</v>
      </c>
      <c r="M64" s="60">
        <f t="shared" ref="M64" si="23">L64/22</f>
        <v>4.5454545454545456E-2</v>
      </c>
    </row>
    <row r="65" spans="7:13" ht="15.75" customHeight="1" x14ac:dyDescent="0.25">
      <c r="G65">
        <v>3</v>
      </c>
      <c r="H65">
        <f t="shared" si="20"/>
        <v>1</v>
      </c>
      <c r="I65" s="60">
        <f t="shared" ref="I65:K72" si="24">H65/22</f>
        <v>4.5454545454545456E-2</v>
      </c>
      <c r="J65">
        <f t="shared" si="21"/>
        <v>0</v>
      </c>
      <c r="K65" s="60"/>
      <c r="L65">
        <f t="shared" si="22"/>
        <v>0</v>
      </c>
      <c r="M65" s="60"/>
    </row>
    <row r="66" spans="7:13" ht="15.75" customHeight="1" x14ac:dyDescent="0.25">
      <c r="G66">
        <v>4</v>
      </c>
      <c r="H66">
        <f t="shared" si="20"/>
        <v>0</v>
      </c>
      <c r="I66" s="60"/>
      <c r="J66">
        <f t="shared" si="21"/>
        <v>1</v>
      </c>
      <c r="K66" s="60">
        <f t="shared" si="24"/>
        <v>4.5454545454545456E-2</v>
      </c>
      <c r="L66">
        <f t="shared" si="22"/>
        <v>0</v>
      </c>
      <c r="M66" s="60"/>
    </row>
    <row r="67" spans="7:13" ht="15.75" customHeight="1" x14ac:dyDescent="0.25">
      <c r="G67">
        <v>5</v>
      </c>
      <c r="H67">
        <f t="shared" si="20"/>
        <v>3</v>
      </c>
      <c r="I67" s="60">
        <f t="shared" si="24"/>
        <v>0.13636363636363635</v>
      </c>
      <c r="J67">
        <f t="shared" si="21"/>
        <v>0</v>
      </c>
      <c r="K67" s="60"/>
      <c r="L67">
        <f t="shared" si="22"/>
        <v>3</v>
      </c>
      <c r="M67" s="60">
        <f t="shared" ref="M67" si="25">L67/22</f>
        <v>0.13636363636363635</v>
      </c>
    </row>
    <row r="68" spans="7:13" ht="15.75" customHeight="1" x14ac:dyDescent="0.25">
      <c r="G68">
        <v>6</v>
      </c>
      <c r="H68">
        <f t="shared" si="20"/>
        <v>1</v>
      </c>
      <c r="I68" s="60">
        <f t="shared" si="24"/>
        <v>4.5454545454545456E-2</v>
      </c>
      <c r="J68">
        <f t="shared" si="21"/>
        <v>2</v>
      </c>
      <c r="K68" s="60">
        <f t="shared" si="24"/>
        <v>9.0909090909090912E-2</v>
      </c>
      <c r="L68">
        <f t="shared" si="22"/>
        <v>0</v>
      </c>
      <c r="M68" s="60"/>
    </row>
    <row r="69" spans="7:13" ht="15.75" customHeight="1" x14ac:dyDescent="0.25">
      <c r="G69">
        <v>7</v>
      </c>
      <c r="H69">
        <f t="shared" si="20"/>
        <v>1</v>
      </c>
      <c r="I69" s="60">
        <f t="shared" si="24"/>
        <v>4.5454545454545456E-2</v>
      </c>
      <c r="J69">
        <f t="shared" si="21"/>
        <v>2</v>
      </c>
      <c r="K69" s="60">
        <f t="shared" si="24"/>
        <v>9.0909090909090912E-2</v>
      </c>
      <c r="L69">
        <f t="shared" si="22"/>
        <v>3</v>
      </c>
      <c r="M69" s="60">
        <f t="shared" ref="M69" si="26">L69/22</f>
        <v>0.13636363636363635</v>
      </c>
    </row>
    <row r="70" spans="7:13" ht="15.75" customHeight="1" x14ac:dyDescent="0.25">
      <c r="G70">
        <v>8</v>
      </c>
      <c r="H70">
        <f t="shared" si="20"/>
        <v>3</v>
      </c>
      <c r="I70" s="60">
        <f t="shared" si="24"/>
        <v>0.13636363636363635</v>
      </c>
      <c r="J70">
        <f t="shared" si="21"/>
        <v>0</v>
      </c>
      <c r="K70" s="60"/>
      <c r="L70">
        <f t="shared" si="22"/>
        <v>4</v>
      </c>
      <c r="M70" s="60">
        <f t="shared" ref="M70" si="27">L70/22</f>
        <v>0.18181818181818182</v>
      </c>
    </row>
    <row r="71" spans="7:13" ht="15.75" customHeight="1" x14ac:dyDescent="0.25">
      <c r="G71">
        <v>9</v>
      </c>
      <c r="H71">
        <f t="shared" si="20"/>
        <v>2</v>
      </c>
      <c r="I71" s="60">
        <f t="shared" si="24"/>
        <v>9.0909090909090912E-2</v>
      </c>
      <c r="J71">
        <f t="shared" si="21"/>
        <v>1</v>
      </c>
      <c r="K71" s="60">
        <f t="shared" si="24"/>
        <v>4.5454545454545456E-2</v>
      </c>
      <c r="L71">
        <f t="shared" si="22"/>
        <v>0</v>
      </c>
      <c r="M71" s="60"/>
    </row>
    <row r="72" spans="7:13" ht="15.75" customHeight="1" x14ac:dyDescent="0.25">
      <c r="G72">
        <v>10</v>
      </c>
      <c r="H72">
        <f t="shared" si="20"/>
        <v>11</v>
      </c>
      <c r="I72" s="60">
        <f t="shared" si="24"/>
        <v>0.5</v>
      </c>
      <c r="J72">
        <f t="shared" si="21"/>
        <v>16</v>
      </c>
      <c r="K72" s="60">
        <f t="shared" si="24"/>
        <v>0.72727272727272729</v>
      </c>
      <c r="L72">
        <f t="shared" si="22"/>
        <v>11</v>
      </c>
      <c r="M72" s="60">
        <f t="shared" ref="M72" si="28">L72/22</f>
        <v>0.5</v>
      </c>
    </row>
    <row r="79" spans="7:13" ht="15.75" customHeight="1" x14ac:dyDescent="0.25">
      <c r="H79" t="s">
        <v>274</v>
      </c>
      <c r="I79" t="s">
        <v>268</v>
      </c>
    </row>
    <row r="80" spans="7:13" ht="15.75" customHeight="1" x14ac:dyDescent="0.25">
      <c r="G80">
        <v>1</v>
      </c>
      <c r="H80">
        <f>COUNTIF($W$3:$W$24,G80)</f>
        <v>0</v>
      </c>
      <c r="I80" s="60"/>
    </row>
    <row r="81" spans="7:10" ht="15.75" customHeight="1" x14ac:dyDescent="0.25">
      <c r="G81">
        <v>2</v>
      </c>
      <c r="H81">
        <f t="shared" ref="H81:H89" si="29">COUNTIF($W$3:$W$24,G81)</f>
        <v>0</v>
      </c>
      <c r="I81" s="60"/>
    </row>
    <row r="82" spans="7:10" ht="15.75" customHeight="1" x14ac:dyDescent="0.25">
      <c r="G82">
        <v>3</v>
      </c>
      <c r="H82">
        <f t="shared" si="29"/>
        <v>0</v>
      </c>
      <c r="I82" s="60"/>
    </row>
    <row r="83" spans="7:10" ht="15.75" customHeight="1" x14ac:dyDescent="0.25">
      <c r="G83">
        <v>4</v>
      </c>
      <c r="H83">
        <f t="shared" si="29"/>
        <v>1</v>
      </c>
      <c r="I83" s="60">
        <f t="shared" ref="I83:I89" si="30">H83/22</f>
        <v>4.5454545454545456E-2</v>
      </c>
      <c r="J83" t="s">
        <v>61</v>
      </c>
    </row>
    <row r="84" spans="7:10" ht="15.75" customHeight="1" x14ac:dyDescent="0.25">
      <c r="G84">
        <v>5</v>
      </c>
      <c r="H84">
        <f t="shared" si="29"/>
        <v>0</v>
      </c>
      <c r="I84" s="60"/>
    </row>
    <row r="85" spans="7:10" ht="15.75" customHeight="1" x14ac:dyDescent="0.25">
      <c r="G85">
        <v>6</v>
      </c>
      <c r="H85">
        <f t="shared" si="29"/>
        <v>0</v>
      </c>
      <c r="I85" s="60"/>
    </row>
    <row r="86" spans="7:10" ht="15.75" customHeight="1" x14ac:dyDescent="0.25">
      <c r="G86">
        <v>7</v>
      </c>
      <c r="H86">
        <f t="shared" si="29"/>
        <v>0</v>
      </c>
      <c r="I86" s="60"/>
    </row>
    <row r="87" spans="7:10" ht="15.75" customHeight="1" x14ac:dyDescent="0.25">
      <c r="G87">
        <v>8</v>
      </c>
      <c r="H87">
        <f t="shared" si="29"/>
        <v>1</v>
      </c>
      <c r="I87" s="60">
        <f t="shared" si="30"/>
        <v>4.5454545454545456E-2</v>
      </c>
    </row>
    <row r="88" spans="7:10" ht="15.75" customHeight="1" x14ac:dyDescent="0.25">
      <c r="G88">
        <v>9</v>
      </c>
      <c r="H88">
        <f t="shared" si="29"/>
        <v>0</v>
      </c>
      <c r="I88" s="60"/>
    </row>
    <row r="89" spans="7:10" ht="15.75" customHeight="1" x14ac:dyDescent="0.25">
      <c r="G89">
        <v>10</v>
      </c>
      <c r="H89">
        <f t="shared" si="29"/>
        <v>20</v>
      </c>
      <c r="I89" s="60">
        <f t="shared" si="30"/>
        <v>0.90909090909090906</v>
      </c>
    </row>
  </sheetData>
  <pageMargins left="0.7" right="0.7" top="0.75" bottom="0.75" header="0.3" footer="0.3"/>
  <pageSetup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76E1-7288-4429-AE40-40C88C06D2E6}">
  <sheetPr>
    <outlinePr summaryBelow="0" summaryRight="0"/>
  </sheetPr>
  <dimension ref="A1:AR38"/>
  <sheetViews>
    <sheetView workbookViewId="0">
      <selection activeCell="I21" sqref="I21"/>
    </sheetView>
  </sheetViews>
  <sheetFormatPr defaultColWidth="12.54296875" defaultRowHeight="15.75" customHeight="1" x14ac:dyDescent="0.25"/>
  <cols>
    <col min="1" max="28" width="18.81640625" customWidth="1"/>
    <col min="29" max="30" width="8.81640625" customWidth="1"/>
    <col min="31" max="31" width="18.81640625" customWidth="1"/>
    <col min="32" max="32" width="26.1796875" customWidth="1"/>
    <col min="33" max="34" width="9.81640625" customWidth="1"/>
    <col min="35" max="49" width="18.81640625" customWidth="1"/>
  </cols>
  <sheetData>
    <row r="1" spans="1:44" s="14" customFormat="1" ht="15.75" customHeight="1" x14ac:dyDescent="0.25">
      <c r="B1" s="14" t="s">
        <v>177</v>
      </c>
      <c r="D1" s="14" t="s">
        <v>178</v>
      </c>
      <c r="F1" s="14" t="s">
        <v>179</v>
      </c>
      <c r="H1" s="14" t="s">
        <v>180</v>
      </c>
      <c r="J1" s="14" t="s">
        <v>194</v>
      </c>
      <c r="L1" s="14" t="s">
        <v>195</v>
      </c>
      <c r="N1" s="14" t="s">
        <v>196</v>
      </c>
      <c r="P1" s="14" t="s">
        <v>197</v>
      </c>
      <c r="R1" s="14" t="s">
        <v>198</v>
      </c>
      <c r="S1" s="14" t="s">
        <v>199</v>
      </c>
      <c r="U1" s="14" t="s">
        <v>200</v>
      </c>
      <c r="W1" s="14" t="s">
        <v>201</v>
      </c>
      <c r="X1" s="14" t="s">
        <v>202</v>
      </c>
      <c r="Y1" s="14" t="s">
        <v>202</v>
      </c>
      <c r="Z1" s="14" t="s">
        <v>203</v>
      </c>
      <c r="AA1" s="14" t="s">
        <v>203</v>
      </c>
      <c r="AB1" s="14" t="s">
        <v>204</v>
      </c>
      <c r="AC1" s="14" t="s">
        <v>204</v>
      </c>
      <c r="AD1" s="14" t="s">
        <v>204</v>
      </c>
      <c r="AE1" s="14" t="s">
        <v>205</v>
      </c>
      <c r="AF1" s="14" t="s">
        <v>206</v>
      </c>
      <c r="AG1" s="14" t="s">
        <v>206</v>
      </c>
      <c r="AI1" s="14" t="s">
        <v>207</v>
      </c>
      <c r="AJ1" s="14" t="s">
        <v>208</v>
      </c>
      <c r="AK1" s="14" t="s">
        <v>209</v>
      </c>
      <c r="AL1" s="14" t="s">
        <v>209</v>
      </c>
      <c r="AM1" s="14" t="s">
        <v>210</v>
      </c>
      <c r="AN1" s="14" t="s">
        <v>211</v>
      </c>
      <c r="AO1" s="14" t="s">
        <v>212</v>
      </c>
      <c r="AP1" s="14" t="s">
        <v>212</v>
      </c>
      <c r="AQ1" s="14" t="s">
        <v>213</v>
      </c>
      <c r="AR1" s="14" t="s">
        <v>213</v>
      </c>
    </row>
    <row r="2" spans="1:44" s="14" customFormat="1" ht="12.5" x14ac:dyDescent="0.25">
      <c r="A2" s="15" t="s">
        <v>0</v>
      </c>
      <c r="B2" s="15" t="s">
        <v>1</v>
      </c>
      <c r="C2" s="15" t="s">
        <v>2</v>
      </c>
      <c r="D2" s="15" t="s">
        <v>3</v>
      </c>
      <c r="E2" s="15" t="s">
        <v>2</v>
      </c>
      <c r="F2" s="15" t="s">
        <v>4</v>
      </c>
      <c r="G2" s="15" t="s">
        <v>2</v>
      </c>
      <c r="H2" s="15" t="s">
        <v>5</v>
      </c>
      <c r="I2" s="15" t="s">
        <v>2</v>
      </c>
      <c r="J2" s="15" t="s">
        <v>6</v>
      </c>
      <c r="K2" s="15" t="s">
        <v>2</v>
      </c>
      <c r="L2" s="15" t="s">
        <v>7</v>
      </c>
      <c r="M2" s="15" t="s">
        <v>2</v>
      </c>
      <c r="N2" s="15" t="s">
        <v>183</v>
      </c>
      <c r="O2" s="15" t="s">
        <v>2</v>
      </c>
      <c r="P2" s="15" t="s">
        <v>9</v>
      </c>
      <c r="Q2" s="15" t="s">
        <v>2</v>
      </c>
      <c r="R2" s="15" t="s">
        <v>10</v>
      </c>
      <c r="S2" s="15" t="s">
        <v>11</v>
      </c>
      <c r="T2" s="15" t="s">
        <v>2</v>
      </c>
      <c r="U2" s="16" t="s">
        <v>182</v>
      </c>
      <c r="V2" s="15" t="s">
        <v>2</v>
      </c>
      <c r="W2" s="16" t="s">
        <v>181</v>
      </c>
      <c r="X2" s="15" t="s">
        <v>14</v>
      </c>
      <c r="Y2" s="15" t="s">
        <v>14</v>
      </c>
      <c r="Z2" s="15" t="s">
        <v>15</v>
      </c>
      <c r="AA2" s="15" t="s">
        <v>15</v>
      </c>
      <c r="AB2" s="15" t="s">
        <v>16</v>
      </c>
      <c r="AC2" s="15" t="s">
        <v>235</v>
      </c>
      <c r="AD2" s="15" t="s">
        <v>236</v>
      </c>
      <c r="AE2" s="15" t="s">
        <v>17</v>
      </c>
      <c r="AF2" s="15" t="s">
        <v>18</v>
      </c>
      <c r="AG2" s="15"/>
      <c r="AH2" s="15"/>
      <c r="AI2" s="15" t="s">
        <v>19</v>
      </c>
      <c r="AJ2" s="15" t="s">
        <v>20</v>
      </c>
      <c r="AK2" s="15" t="s">
        <v>21</v>
      </c>
      <c r="AL2" s="15" t="s">
        <v>21</v>
      </c>
      <c r="AM2" s="15" t="s">
        <v>22</v>
      </c>
      <c r="AN2" s="15" t="s">
        <v>23</v>
      </c>
      <c r="AO2" s="15" t="s">
        <v>24</v>
      </c>
      <c r="AP2" s="15" t="s">
        <v>24</v>
      </c>
      <c r="AQ2" s="15" t="s">
        <v>25</v>
      </c>
      <c r="AR2" s="15" t="s">
        <v>25</v>
      </c>
    </row>
    <row r="3" spans="1:44" ht="12.5" x14ac:dyDescent="0.25">
      <c r="A3" s="2">
        <v>45357.410889421299</v>
      </c>
      <c r="B3" s="4">
        <v>5</v>
      </c>
      <c r="C3" s="4" t="s">
        <v>26</v>
      </c>
      <c r="D3" s="4">
        <v>7</v>
      </c>
      <c r="E3" s="4" t="s">
        <v>27</v>
      </c>
      <c r="F3" s="4">
        <v>7</v>
      </c>
      <c r="G3" s="4" t="s">
        <v>28</v>
      </c>
      <c r="H3" s="4">
        <v>10</v>
      </c>
      <c r="I3" s="4" t="s">
        <v>26</v>
      </c>
      <c r="J3" s="4">
        <v>10</v>
      </c>
      <c r="K3" s="4" t="s">
        <v>26</v>
      </c>
      <c r="L3" s="4">
        <v>8</v>
      </c>
      <c r="M3" s="4" t="s">
        <v>26</v>
      </c>
      <c r="N3" s="4">
        <v>10</v>
      </c>
      <c r="O3" s="4" t="s">
        <v>26</v>
      </c>
      <c r="P3" s="4">
        <v>7</v>
      </c>
      <c r="R3" s="4">
        <v>10</v>
      </c>
      <c r="S3" s="4">
        <v>10</v>
      </c>
      <c r="U3" s="4">
        <v>10</v>
      </c>
      <c r="W3" s="4">
        <v>10</v>
      </c>
      <c r="X3" s="4" t="s">
        <v>29</v>
      </c>
      <c r="Y3" s="4">
        <v>10</v>
      </c>
      <c r="Z3" s="4" t="s">
        <v>30</v>
      </c>
      <c r="AA3" s="4">
        <v>8</v>
      </c>
      <c r="AB3" s="4" t="s">
        <v>31</v>
      </c>
      <c r="AC3" s="17">
        <v>1</v>
      </c>
      <c r="AD3" s="18">
        <f>2*(6-AC3)</f>
        <v>10</v>
      </c>
      <c r="AE3" s="4" t="s">
        <v>32</v>
      </c>
      <c r="AF3" s="4" t="s">
        <v>33</v>
      </c>
      <c r="AG3" s="19">
        <v>7</v>
      </c>
      <c r="AH3" s="20">
        <v>1</v>
      </c>
      <c r="AI3" s="4" t="s">
        <v>34</v>
      </c>
      <c r="AJ3" s="4" t="s">
        <v>35</v>
      </c>
      <c r="AK3" s="4" t="s">
        <v>36</v>
      </c>
      <c r="AL3" s="4">
        <v>9</v>
      </c>
      <c r="AM3" s="4" t="s">
        <v>34</v>
      </c>
      <c r="AN3" s="4" t="s">
        <v>37</v>
      </c>
      <c r="AO3" s="4" t="s">
        <v>38</v>
      </c>
      <c r="AP3" s="4">
        <v>10</v>
      </c>
      <c r="AQ3" s="4" t="s">
        <v>39</v>
      </c>
      <c r="AR3" s="9">
        <v>10</v>
      </c>
    </row>
    <row r="4" spans="1:44" ht="12.5" x14ac:dyDescent="0.25">
      <c r="A4" s="2">
        <v>45357.449567430551</v>
      </c>
      <c r="B4" s="4">
        <v>8</v>
      </c>
      <c r="C4" s="4" t="s">
        <v>40</v>
      </c>
      <c r="D4" s="4">
        <v>6</v>
      </c>
      <c r="E4" s="4" t="s">
        <v>41</v>
      </c>
      <c r="F4" s="4">
        <v>10</v>
      </c>
      <c r="G4" s="4" t="s">
        <v>42</v>
      </c>
      <c r="H4" s="4">
        <v>6</v>
      </c>
      <c r="I4" s="4" t="s">
        <v>41</v>
      </c>
      <c r="J4" s="4">
        <v>10</v>
      </c>
      <c r="K4" s="4" t="s">
        <v>43</v>
      </c>
      <c r="L4" s="4">
        <v>9</v>
      </c>
      <c r="M4" s="4" t="s">
        <v>41</v>
      </c>
      <c r="N4" s="4">
        <v>7</v>
      </c>
      <c r="O4" s="4" t="s">
        <v>44</v>
      </c>
      <c r="P4" s="4">
        <v>7</v>
      </c>
      <c r="Q4" s="4" t="s">
        <v>41</v>
      </c>
      <c r="R4" s="4">
        <v>10</v>
      </c>
      <c r="S4" s="4">
        <v>10</v>
      </c>
      <c r="T4" s="4" t="s">
        <v>45</v>
      </c>
      <c r="U4" s="4">
        <v>10</v>
      </c>
      <c r="V4" s="4" t="s">
        <v>46</v>
      </c>
      <c r="W4" s="4">
        <v>8</v>
      </c>
      <c r="X4" s="4" t="s">
        <v>47</v>
      </c>
      <c r="Y4" s="4">
        <v>10</v>
      </c>
      <c r="Z4" s="4" t="s">
        <v>48</v>
      </c>
      <c r="AA4" s="4">
        <v>10</v>
      </c>
      <c r="AB4" s="4" t="s">
        <v>49</v>
      </c>
      <c r="AC4" s="11">
        <v>1</v>
      </c>
      <c r="AD4" s="18">
        <f t="shared" ref="AD4:AD24" si="0">2*(6-AC4)</f>
        <v>10</v>
      </c>
      <c r="AE4" s="4" t="s">
        <v>50</v>
      </c>
      <c r="AF4" s="4" t="s">
        <v>35</v>
      </c>
      <c r="AG4" s="10">
        <v>9</v>
      </c>
      <c r="AH4" s="20">
        <v>3</v>
      </c>
      <c r="AI4" s="4" t="s">
        <v>51</v>
      </c>
      <c r="AJ4" s="4" t="s">
        <v>52</v>
      </c>
      <c r="AK4" s="4" t="s">
        <v>53</v>
      </c>
      <c r="AL4" s="4">
        <v>7</v>
      </c>
      <c r="AM4" s="4" t="s">
        <v>35</v>
      </c>
      <c r="AN4" s="4" t="s">
        <v>54</v>
      </c>
      <c r="AO4" s="4" t="s">
        <v>55</v>
      </c>
      <c r="AP4" s="4">
        <v>10</v>
      </c>
      <c r="AQ4" s="4" t="s">
        <v>35</v>
      </c>
      <c r="AR4" s="9">
        <v>8</v>
      </c>
    </row>
    <row r="5" spans="1:44" ht="12.5" x14ac:dyDescent="0.25">
      <c r="A5" s="2">
        <v>45357.476789895838</v>
      </c>
      <c r="B5" s="4">
        <v>3</v>
      </c>
      <c r="D5" s="4">
        <v>4</v>
      </c>
      <c r="F5" s="4">
        <v>8</v>
      </c>
      <c r="H5" s="4">
        <v>6</v>
      </c>
      <c r="J5" s="4">
        <v>9</v>
      </c>
      <c r="L5" s="4">
        <v>4</v>
      </c>
      <c r="N5" s="4">
        <v>3</v>
      </c>
      <c r="P5" s="4">
        <v>4</v>
      </c>
      <c r="R5" s="4">
        <v>7</v>
      </c>
      <c r="S5" s="4">
        <v>6</v>
      </c>
      <c r="U5" s="4">
        <v>10</v>
      </c>
      <c r="V5" s="4" t="s">
        <v>56</v>
      </c>
      <c r="W5" s="4">
        <v>4</v>
      </c>
      <c r="X5" s="4" t="s">
        <v>35</v>
      </c>
      <c r="Y5" s="4">
        <v>9</v>
      </c>
      <c r="Z5" s="4" t="s">
        <v>57</v>
      </c>
      <c r="AA5" s="4">
        <v>7</v>
      </c>
      <c r="AB5" s="4" t="s">
        <v>58</v>
      </c>
      <c r="AC5" s="11">
        <v>5</v>
      </c>
      <c r="AD5" s="18">
        <f t="shared" si="0"/>
        <v>2</v>
      </c>
      <c r="AE5" s="4" t="s">
        <v>35</v>
      </c>
      <c r="AF5" s="4" t="s">
        <v>35</v>
      </c>
      <c r="AG5" s="10">
        <v>9</v>
      </c>
      <c r="AH5" s="20">
        <v>3</v>
      </c>
      <c r="AI5" s="4" t="s">
        <v>41</v>
      </c>
      <c r="AJ5" s="4" t="s">
        <v>41</v>
      </c>
      <c r="AK5" s="4" t="s">
        <v>41</v>
      </c>
      <c r="AL5" s="4">
        <v>5</v>
      </c>
      <c r="AM5" s="4" t="s">
        <v>57</v>
      </c>
      <c r="AN5" s="4" t="s">
        <v>59</v>
      </c>
      <c r="AO5" s="4" t="s">
        <v>35</v>
      </c>
      <c r="AP5" s="4">
        <v>10</v>
      </c>
      <c r="AQ5" s="4" t="s">
        <v>60</v>
      </c>
      <c r="AR5" s="9">
        <v>8</v>
      </c>
    </row>
    <row r="6" spans="1:44" ht="12.5" x14ac:dyDescent="0.25">
      <c r="A6" s="2">
        <v>45357.583837847225</v>
      </c>
      <c r="B6" s="4">
        <v>9</v>
      </c>
      <c r="D6" s="4">
        <v>10</v>
      </c>
      <c r="E6" s="4" t="s">
        <v>61</v>
      </c>
      <c r="F6" s="4">
        <v>7</v>
      </c>
      <c r="G6" s="4" t="s">
        <v>61</v>
      </c>
      <c r="H6" s="4">
        <v>10</v>
      </c>
      <c r="I6" s="4" t="s">
        <v>61</v>
      </c>
      <c r="J6" s="4">
        <v>10</v>
      </c>
      <c r="K6" s="4" t="s">
        <v>61</v>
      </c>
      <c r="L6" s="4">
        <v>7</v>
      </c>
      <c r="M6" s="4" t="s">
        <v>62</v>
      </c>
      <c r="N6" s="4">
        <v>6</v>
      </c>
      <c r="O6" s="4" t="s">
        <v>63</v>
      </c>
      <c r="P6" s="4">
        <v>10</v>
      </c>
      <c r="Q6" s="4" t="s">
        <v>61</v>
      </c>
      <c r="R6" s="4">
        <v>10</v>
      </c>
      <c r="S6" s="4">
        <v>10</v>
      </c>
      <c r="T6" s="4" t="s">
        <v>64</v>
      </c>
      <c r="U6" s="4">
        <v>10</v>
      </c>
      <c r="V6" s="4" t="s">
        <v>65</v>
      </c>
      <c r="W6" s="4">
        <v>10</v>
      </c>
      <c r="X6" s="4" t="s">
        <v>34</v>
      </c>
      <c r="Y6" s="4">
        <v>9</v>
      </c>
      <c r="Z6" s="4" t="s">
        <v>35</v>
      </c>
      <c r="AA6" s="4">
        <v>8</v>
      </c>
      <c r="AB6" s="4" t="s">
        <v>41</v>
      </c>
      <c r="AC6" s="11">
        <v>1</v>
      </c>
      <c r="AD6" s="18">
        <f t="shared" si="0"/>
        <v>10</v>
      </c>
      <c r="AE6" s="4" t="s">
        <v>35</v>
      </c>
      <c r="AF6" s="4" t="s">
        <v>35</v>
      </c>
      <c r="AG6" s="10">
        <v>9</v>
      </c>
      <c r="AH6" s="20">
        <v>3</v>
      </c>
      <c r="AI6" s="4" t="s">
        <v>66</v>
      </c>
      <c r="AJ6" s="4" t="s">
        <v>35</v>
      </c>
      <c r="AK6" s="4" t="s">
        <v>67</v>
      </c>
      <c r="AL6" s="4">
        <v>6</v>
      </c>
      <c r="AM6" s="4" t="s">
        <v>35</v>
      </c>
      <c r="AN6" s="4" t="s">
        <v>68</v>
      </c>
      <c r="AO6" s="4" t="s">
        <v>35</v>
      </c>
      <c r="AP6" s="4">
        <v>10</v>
      </c>
      <c r="AQ6" s="4" t="s">
        <v>69</v>
      </c>
      <c r="AR6" s="9">
        <v>10</v>
      </c>
    </row>
    <row r="7" spans="1:44" ht="12.5" x14ac:dyDescent="0.25">
      <c r="A7" s="2">
        <v>45357.615013310184</v>
      </c>
      <c r="B7" s="4">
        <v>8</v>
      </c>
      <c r="D7" s="4">
        <v>7</v>
      </c>
      <c r="F7" s="4">
        <v>5</v>
      </c>
      <c r="G7" s="4" t="s">
        <v>70</v>
      </c>
      <c r="H7" s="4">
        <v>10</v>
      </c>
      <c r="J7" s="4">
        <v>10</v>
      </c>
      <c r="L7" s="4">
        <v>8</v>
      </c>
      <c r="N7" s="4">
        <v>10</v>
      </c>
      <c r="P7" s="4">
        <v>10</v>
      </c>
      <c r="R7" s="4">
        <v>10</v>
      </c>
      <c r="S7" s="4">
        <v>10</v>
      </c>
      <c r="T7" s="4" t="s">
        <v>71</v>
      </c>
      <c r="U7" s="4">
        <v>10</v>
      </c>
      <c r="V7" s="4" t="s">
        <v>72</v>
      </c>
      <c r="W7" s="4">
        <v>10</v>
      </c>
      <c r="X7" s="4" t="s">
        <v>35</v>
      </c>
      <c r="Y7" s="4">
        <v>9</v>
      </c>
      <c r="Z7" s="4" t="s">
        <v>73</v>
      </c>
      <c r="AA7" s="4">
        <v>7</v>
      </c>
      <c r="AB7" s="4" t="s">
        <v>41</v>
      </c>
      <c r="AC7" s="11">
        <v>1</v>
      </c>
      <c r="AD7" s="18">
        <f t="shared" si="0"/>
        <v>10</v>
      </c>
      <c r="AE7" s="4" t="s">
        <v>35</v>
      </c>
      <c r="AF7" s="4" t="s">
        <v>35</v>
      </c>
      <c r="AG7" s="10">
        <v>9</v>
      </c>
      <c r="AH7" s="20">
        <v>3</v>
      </c>
      <c r="AI7" s="4" t="s">
        <v>74</v>
      </c>
      <c r="AJ7" s="4" t="s">
        <v>75</v>
      </c>
      <c r="AK7" s="4" t="s">
        <v>34</v>
      </c>
      <c r="AL7" s="4">
        <v>10</v>
      </c>
      <c r="AM7" s="4" t="s">
        <v>35</v>
      </c>
      <c r="AN7" s="4" t="s">
        <v>76</v>
      </c>
      <c r="AO7" s="4" t="s">
        <v>77</v>
      </c>
      <c r="AP7" s="4">
        <v>10</v>
      </c>
      <c r="AQ7" s="4" t="s">
        <v>35</v>
      </c>
      <c r="AR7" s="9">
        <v>8</v>
      </c>
    </row>
    <row r="8" spans="1:44" ht="12.5" x14ac:dyDescent="0.25">
      <c r="A8" s="2">
        <v>45357.63362951389</v>
      </c>
      <c r="B8" s="4">
        <v>10</v>
      </c>
      <c r="C8" s="4" t="s">
        <v>41</v>
      </c>
      <c r="D8" s="4">
        <v>10</v>
      </c>
      <c r="E8" s="4" t="s">
        <v>41</v>
      </c>
      <c r="F8" s="4">
        <v>10</v>
      </c>
      <c r="G8" s="4" t="s">
        <v>41</v>
      </c>
      <c r="H8" s="4">
        <v>10</v>
      </c>
      <c r="I8" s="4" t="s">
        <v>41</v>
      </c>
      <c r="J8" s="4">
        <v>10</v>
      </c>
      <c r="K8" s="4" t="s">
        <v>41</v>
      </c>
      <c r="L8" s="4">
        <v>10</v>
      </c>
      <c r="M8" s="4" t="s">
        <v>41</v>
      </c>
      <c r="N8" s="4">
        <v>10</v>
      </c>
      <c r="O8" s="4" t="s">
        <v>41</v>
      </c>
      <c r="P8" s="4">
        <v>10</v>
      </c>
      <c r="Q8" s="4" t="s">
        <v>41</v>
      </c>
      <c r="R8" s="4">
        <v>10</v>
      </c>
      <c r="S8" s="4">
        <v>10</v>
      </c>
      <c r="T8" s="4" t="s">
        <v>41</v>
      </c>
      <c r="U8" s="4">
        <v>10</v>
      </c>
      <c r="V8" s="4" t="s">
        <v>41</v>
      </c>
      <c r="W8" s="4">
        <v>10</v>
      </c>
      <c r="X8" s="4" t="s">
        <v>78</v>
      </c>
      <c r="Y8" s="4">
        <v>10</v>
      </c>
      <c r="Z8" s="4" t="s">
        <v>79</v>
      </c>
      <c r="AA8" s="4">
        <v>9</v>
      </c>
      <c r="AB8" s="4" t="s">
        <v>80</v>
      </c>
      <c r="AC8" s="11">
        <v>1</v>
      </c>
      <c r="AD8" s="18">
        <f t="shared" si="0"/>
        <v>10</v>
      </c>
      <c r="AE8" s="4" t="s">
        <v>35</v>
      </c>
      <c r="AF8" s="4" t="s">
        <v>81</v>
      </c>
      <c r="AG8" s="10">
        <v>8</v>
      </c>
      <c r="AH8" s="20">
        <v>2</v>
      </c>
      <c r="AI8" s="4" t="s">
        <v>34</v>
      </c>
      <c r="AJ8" s="4" t="s">
        <v>82</v>
      </c>
      <c r="AK8" s="4" t="s">
        <v>34</v>
      </c>
      <c r="AL8" s="4">
        <v>10</v>
      </c>
      <c r="AM8" s="4" t="s">
        <v>83</v>
      </c>
      <c r="AN8" s="4" t="s">
        <v>84</v>
      </c>
      <c r="AO8" s="4" t="s">
        <v>85</v>
      </c>
      <c r="AP8" s="4">
        <v>10</v>
      </c>
      <c r="AQ8" s="4" t="s">
        <v>86</v>
      </c>
      <c r="AR8" s="9">
        <v>6</v>
      </c>
    </row>
    <row r="9" spans="1:44" ht="12.5" x14ac:dyDescent="0.25">
      <c r="A9" s="2">
        <v>45357.675118645835</v>
      </c>
      <c r="B9" s="4">
        <v>9</v>
      </c>
      <c r="C9" s="4" t="s">
        <v>87</v>
      </c>
      <c r="D9" s="4">
        <v>10</v>
      </c>
      <c r="F9" s="4">
        <v>10</v>
      </c>
      <c r="H9" s="4">
        <v>10</v>
      </c>
      <c r="J9" s="4">
        <v>10</v>
      </c>
      <c r="L9" s="4">
        <v>10</v>
      </c>
      <c r="N9" s="4">
        <v>10</v>
      </c>
      <c r="P9" s="4">
        <v>9</v>
      </c>
      <c r="Q9" s="4" t="s">
        <v>88</v>
      </c>
      <c r="R9" s="4">
        <v>10</v>
      </c>
      <c r="S9" s="4">
        <v>10</v>
      </c>
      <c r="U9" s="4">
        <v>10</v>
      </c>
      <c r="W9" s="4">
        <v>10</v>
      </c>
      <c r="X9" s="4" t="s">
        <v>89</v>
      </c>
      <c r="Y9" s="4">
        <v>8</v>
      </c>
      <c r="Z9" s="4" t="s">
        <v>90</v>
      </c>
      <c r="AA9" s="4">
        <v>9</v>
      </c>
      <c r="AB9" s="4" t="s">
        <v>91</v>
      </c>
      <c r="AC9" s="11">
        <v>1</v>
      </c>
      <c r="AD9" s="18">
        <f t="shared" si="0"/>
        <v>10</v>
      </c>
      <c r="AE9" s="4" t="s">
        <v>92</v>
      </c>
      <c r="AF9" s="4" t="s">
        <v>93</v>
      </c>
      <c r="AG9" s="10">
        <v>7</v>
      </c>
      <c r="AH9" s="20">
        <v>1</v>
      </c>
      <c r="AI9" s="4" t="s">
        <v>94</v>
      </c>
      <c r="AJ9" s="4" t="s">
        <v>95</v>
      </c>
      <c r="AK9" s="4" t="s">
        <v>96</v>
      </c>
      <c r="AL9" s="4">
        <v>10</v>
      </c>
      <c r="AM9" s="4" t="s">
        <v>97</v>
      </c>
      <c r="AN9" s="4" t="s">
        <v>98</v>
      </c>
      <c r="AO9" s="4" t="s">
        <v>99</v>
      </c>
      <c r="AP9" s="4">
        <v>10</v>
      </c>
      <c r="AQ9" s="4" t="s">
        <v>100</v>
      </c>
      <c r="AR9" s="9">
        <v>10</v>
      </c>
    </row>
    <row r="10" spans="1:44" ht="19.5" customHeight="1" x14ac:dyDescent="0.25">
      <c r="A10" s="2">
        <v>45357.77325471065</v>
      </c>
      <c r="B10" s="4">
        <v>5</v>
      </c>
      <c r="D10" s="4">
        <v>10</v>
      </c>
      <c r="F10" s="4">
        <v>5</v>
      </c>
      <c r="H10" s="4">
        <v>8</v>
      </c>
      <c r="J10" s="4">
        <v>1</v>
      </c>
      <c r="L10" s="4">
        <v>1</v>
      </c>
      <c r="N10" s="4">
        <v>1</v>
      </c>
      <c r="P10" s="4">
        <v>1</v>
      </c>
      <c r="R10" s="4">
        <v>10</v>
      </c>
      <c r="S10" s="4">
        <v>10</v>
      </c>
      <c r="U10" s="4">
        <v>10</v>
      </c>
      <c r="W10" s="4">
        <v>10</v>
      </c>
      <c r="X10" s="4" t="s">
        <v>35</v>
      </c>
      <c r="Y10" s="4">
        <v>9</v>
      </c>
      <c r="Z10" s="4" t="s">
        <v>101</v>
      </c>
      <c r="AA10" s="4">
        <v>8</v>
      </c>
      <c r="AB10" s="4" t="s">
        <v>41</v>
      </c>
      <c r="AC10" s="11">
        <v>1</v>
      </c>
      <c r="AD10" s="18">
        <f t="shared" si="0"/>
        <v>10</v>
      </c>
      <c r="AE10" s="4" t="s">
        <v>35</v>
      </c>
      <c r="AF10" s="4" t="s">
        <v>35</v>
      </c>
      <c r="AG10" s="10">
        <v>9</v>
      </c>
      <c r="AH10" s="20">
        <v>3</v>
      </c>
      <c r="AI10" s="4" t="s">
        <v>102</v>
      </c>
      <c r="AJ10" s="4" t="s">
        <v>103</v>
      </c>
      <c r="AK10" s="4" t="s">
        <v>104</v>
      </c>
      <c r="AL10" s="4">
        <v>7</v>
      </c>
      <c r="AM10" s="4" t="s">
        <v>35</v>
      </c>
      <c r="AN10" s="4" t="s">
        <v>105</v>
      </c>
      <c r="AO10" s="4" t="s">
        <v>106</v>
      </c>
      <c r="AP10" s="4">
        <v>10</v>
      </c>
      <c r="AQ10" s="4" t="s">
        <v>107</v>
      </c>
      <c r="AR10" s="9">
        <v>8</v>
      </c>
    </row>
    <row r="11" spans="1:44" ht="12.5" x14ac:dyDescent="0.25">
      <c r="A11" s="2">
        <v>45357.889249722226</v>
      </c>
      <c r="B11" s="4">
        <v>6</v>
      </c>
      <c r="D11" s="4">
        <v>10</v>
      </c>
      <c r="E11" s="4" t="s">
        <v>108</v>
      </c>
      <c r="F11" s="4">
        <v>8</v>
      </c>
      <c r="H11" s="4">
        <v>8</v>
      </c>
      <c r="J11" s="4">
        <v>9</v>
      </c>
      <c r="L11" s="4">
        <v>9</v>
      </c>
      <c r="N11" s="4">
        <v>8</v>
      </c>
      <c r="P11" s="4">
        <v>8</v>
      </c>
      <c r="R11" s="4">
        <v>9</v>
      </c>
      <c r="S11" s="4">
        <v>10</v>
      </c>
      <c r="U11" s="4">
        <v>10</v>
      </c>
      <c r="W11" s="4">
        <v>10</v>
      </c>
      <c r="X11" s="4" t="s">
        <v>35</v>
      </c>
      <c r="Y11" s="4">
        <v>9</v>
      </c>
      <c r="Z11" s="4" t="s">
        <v>109</v>
      </c>
      <c r="AA11" s="4">
        <v>9</v>
      </c>
      <c r="AB11" s="4" t="s">
        <v>41</v>
      </c>
      <c r="AC11" s="11">
        <v>1</v>
      </c>
      <c r="AD11" s="18">
        <f t="shared" si="0"/>
        <v>10</v>
      </c>
      <c r="AE11" s="4" t="s">
        <v>35</v>
      </c>
      <c r="AF11" s="4" t="s">
        <v>35</v>
      </c>
      <c r="AG11" s="10">
        <v>9</v>
      </c>
      <c r="AH11" s="20">
        <v>3</v>
      </c>
      <c r="AI11" s="4" t="s">
        <v>109</v>
      </c>
      <c r="AJ11" s="4" t="s">
        <v>109</v>
      </c>
      <c r="AK11" s="4" t="s">
        <v>110</v>
      </c>
      <c r="AL11" s="4">
        <v>7</v>
      </c>
      <c r="AM11" s="4" t="s">
        <v>35</v>
      </c>
      <c r="AN11" s="4" t="s">
        <v>111</v>
      </c>
      <c r="AO11" s="4" t="s">
        <v>112</v>
      </c>
      <c r="AP11" s="4">
        <v>10</v>
      </c>
      <c r="AQ11" s="4" t="s">
        <v>109</v>
      </c>
      <c r="AR11" s="9">
        <v>8</v>
      </c>
    </row>
    <row r="12" spans="1:44" ht="12.5" x14ac:dyDescent="0.25">
      <c r="A12" s="2">
        <v>45358.462790914353</v>
      </c>
      <c r="B12" s="4">
        <v>10</v>
      </c>
      <c r="D12" s="4">
        <v>10</v>
      </c>
      <c r="F12" s="4">
        <v>7</v>
      </c>
      <c r="G12" s="4" t="s">
        <v>113</v>
      </c>
      <c r="H12" s="4">
        <v>8</v>
      </c>
      <c r="J12" s="4">
        <v>10</v>
      </c>
      <c r="L12" s="4">
        <v>10</v>
      </c>
      <c r="N12" s="4">
        <v>10</v>
      </c>
      <c r="P12" s="4">
        <v>10</v>
      </c>
      <c r="R12" s="4">
        <v>10</v>
      </c>
      <c r="S12" s="4">
        <v>10</v>
      </c>
      <c r="U12" s="4">
        <v>10</v>
      </c>
      <c r="W12" s="4">
        <v>10</v>
      </c>
      <c r="X12" s="4" t="s">
        <v>35</v>
      </c>
      <c r="Y12" s="4">
        <v>9</v>
      </c>
      <c r="Z12" s="4" t="s">
        <v>114</v>
      </c>
      <c r="AA12" s="4">
        <v>10</v>
      </c>
      <c r="AB12" s="4" t="s">
        <v>115</v>
      </c>
      <c r="AC12" s="11">
        <v>1</v>
      </c>
      <c r="AD12" s="18">
        <f t="shared" si="0"/>
        <v>10</v>
      </c>
      <c r="AE12" s="4" t="s">
        <v>116</v>
      </c>
      <c r="AF12" s="4" t="s">
        <v>117</v>
      </c>
      <c r="AG12" s="10">
        <v>7</v>
      </c>
      <c r="AH12" s="20">
        <v>2</v>
      </c>
      <c r="AI12" s="4" t="s">
        <v>35</v>
      </c>
      <c r="AJ12" s="4" t="s">
        <v>35</v>
      </c>
      <c r="AK12" s="4" t="s">
        <v>35</v>
      </c>
      <c r="AL12" s="4">
        <v>10</v>
      </c>
      <c r="AM12" s="4" t="s">
        <v>35</v>
      </c>
      <c r="AN12" s="4" t="s">
        <v>118</v>
      </c>
      <c r="AO12" s="4" t="s">
        <v>34</v>
      </c>
      <c r="AP12" s="4">
        <v>10</v>
      </c>
      <c r="AQ12" s="4" t="s">
        <v>119</v>
      </c>
      <c r="AR12" s="9">
        <v>10</v>
      </c>
    </row>
    <row r="13" spans="1:44" ht="12.5" x14ac:dyDescent="0.25">
      <c r="A13" s="2">
        <v>45358.535946273143</v>
      </c>
      <c r="B13" s="4">
        <v>5</v>
      </c>
      <c r="C13" s="4" t="s">
        <v>120</v>
      </c>
      <c r="D13" s="4">
        <v>10</v>
      </c>
      <c r="F13" s="4">
        <v>5</v>
      </c>
      <c r="G13" s="4" t="s">
        <v>121</v>
      </c>
      <c r="H13" s="4">
        <v>8</v>
      </c>
      <c r="J13" s="4">
        <v>8</v>
      </c>
      <c r="L13" s="4">
        <v>9</v>
      </c>
      <c r="N13" s="4">
        <v>9</v>
      </c>
      <c r="P13" s="4">
        <v>9</v>
      </c>
      <c r="R13" s="4">
        <v>8</v>
      </c>
      <c r="S13" s="4">
        <v>8</v>
      </c>
      <c r="U13" s="4">
        <v>10</v>
      </c>
      <c r="W13" s="4">
        <v>10</v>
      </c>
      <c r="X13" s="4" t="s">
        <v>35</v>
      </c>
      <c r="Y13" s="4">
        <v>9</v>
      </c>
      <c r="Z13" s="4" t="s">
        <v>122</v>
      </c>
      <c r="AA13" s="4">
        <v>7</v>
      </c>
      <c r="AB13" s="4" t="s">
        <v>123</v>
      </c>
      <c r="AC13" s="11">
        <v>1</v>
      </c>
      <c r="AD13" s="18">
        <f t="shared" si="0"/>
        <v>10</v>
      </c>
      <c r="AE13" s="4" t="s">
        <v>34</v>
      </c>
      <c r="AF13" s="4" t="s">
        <v>124</v>
      </c>
      <c r="AG13" s="10">
        <v>7</v>
      </c>
      <c r="AH13" s="20">
        <v>2</v>
      </c>
      <c r="AI13" s="4" t="s">
        <v>35</v>
      </c>
      <c r="AJ13" s="4" t="s">
        <v>125</v>
      </c>
      <c r="AK13" s="4" t="s">
        <v>126</v>
      </c>
      <c r="AL13" s="4">
        <v>8</v>
      </c>
      <c r="AM13" s="4" t="s">
        <v>35</v>
      </c>
      <c r="AN13" s="4" t="s">
        <v>127</v>
      </c>
      <c r="AO13" s="4" t="s">
        <v>128</v>
      </c>
      <c r="AP13" s="4">
        <v>8</v>
      </c>
      <c r="AQ13" s="4" t="s">
        <v>129</v>
      </c>
      <c r="AR13" s="9">
        <v>8</v>
      </c>
    </row>
    <row r="14" spans="1:44" ht="12.5" x14ac:dyDescent="0.25">
      <c r="A14" s="2">
        <v>45358.558370231476</v>
      </c>
      <c r="B14" s="4">
        <v>10</v>
      </c>
      <c r="D14" s="4">
        <v>10</v>
      </c>
      <c r="F14" s="4">
        <v>8</v>
      </c>
      <c r="G14" s="4" t="s">
        <v>130</v>
      </c>
      <c r="H14" s="4">
        <v>10</v>
      </c>
      <c r="J14" s="4">
        <v>10</v>
      </c>
      <c r="L14" s="4">
        <v>8</v>
      </c>
      <c r="N14" s="4">
        <v>8</v>
      </c>
      <c r="P14" s="4">
        <v>10</v>
      </c>
      <c r="R14" s="4">
        <v>10</v>
      </c>
      <c r="S14" s="4">
        <v>10</v>
      </c>
      <c r="U14" s="4">
        <v>10</v>
      </c>
      <c r="W14" s="4">
        <v>10</v>
      </c>
      <c r="X14" s="4" t="s">
        <v>35</v>
      </c>
      <c r="Y14" s="4">
        <v>9</v>
      </c>
      <c r="Z14" s="4" t="s">
        <v>35</v>
      </c>
      <c r="AA14" s="4">
        <v>9</v>
      </c>
      <c r="AB14" s="4" t="s">
        <v>41</v>
      </c>
      <c r="AC14" s="11">
        <v>1</v>
      </c>
      <c r="AD14" s="18">
        <f t="shared" si="0"/>
        <v>10</v>
      </c>
      <c r="AE14" s="4" t="s">
        <v>35</v>
      </c>
      <c r="AF14" s="4" t="s">
        <v>35</v>
      </c>
      <c r="AG14" s="10">
        <v>9</v>
      </c>
      <c r="AH14" s="20">
        <v>3</v>
      </c>
      <c r="AI14" s="4" t="s">
        <v>131</v>
      </c>
      <c r="AJ14" s="4" t="s">
        <v>35</v>
      </c>
      <c r="AK14" s="4" t="s">
        <v>35</v>
      </c>
      <c r="AL14" s="4">
        <v>10</v>
      </c>
      <c r="AM14" s="4" t="s">
        <v>35</v>
      </c>
      <c r="AN14" s="4" t="s">
        <v>132</v>
      </c>
      <c r="AO14" s="4" t="s">
        <v>133</v>
      </c>
      <c r="AP14" s="4">
        <v>10</v>
      </c>
      <c r="AQ14" s="4" t="s">
        <v>35</v>
      </c>
      <c r="AR14" s="9">
        <v>8</v>
      </c>
    </row>
    <row r="15" spans="1:44" ht="12.5" x14ac:dyDescent="0.25">
      <c r="A15" s="2">
        <v>45358.598629988424</v>
      </c>
      <c r="B15" s="4">
        <v>8</v>
      </c>
      <c r="D15" s="4">
        <v>10</v>
      </c>
      <c r="F15" s="4">
        <v>8</v>
      </c>
      <c r="H15" s="4">
        <v>10</v>
      </c>
      <c r="J15" s="4">
        <v>10</v>
      </c>
      <c r="L15" s="4">
        <v>10</v>
      </c>
      <c r="N15" s="4">
        <v>10</v>
      </c>
      <c r="P15" s="4">
        <v>10</v>
      </c>
      <c r="R15" s="4">
        <v>10</v>
      </c>
      <c r="S15" s="4">
        <v>10</v>
      </c>
      <c r="U15" s="4">
        <v>10</v>
      </c>
      <c r="W15" s="4">
        <v>10</v>
      </c>
      <c r="X15" s="4" t="s">
        <v>134</v>
      </c>
      <c r="Y15" s="4">
        <v>7</v>
      </c>
      <c r="Z15" s="4" t="s">
        <v>35</v>
      </c>
      <c r="AA15" s="4">
        <v>9</v>
      </c>
      <c r="AB15" s="4" t="s">
        <v>41</v>
      </c>
      <c r="AC15" s="11">
        <v>1</v>
      </c>
      <c r="AD15" s="18">
        <f t="shared" si="0"/>
        <v>10</v>
      </c>
      <c r="AE15" s="4" t="s">
        <v>35</v>
      </c>
      <c r="AF15" s="4" t="s">
        <v>35</v>
      </c>
      <c r="AG15" s="10">
        <v>9</v>
      </c>
      <c r="AH15" s="20">
        <v>3</v>
      </c>
      <c r="AI15" s="4" t="s">
        <v>35</v>
      </c>
      <c r="AJ15" s="4" t="s">
        <v>35</v>
      </c>
      <c r="AK15" s="4" t="s">
        <v>35</v>
      </c>
      <c r="AL15" s="4">
        <v>10</v>
      </c>
      <c r="AM15" s="4" t="s">
        <v>35</v>
      </c>
      <c r="AN15" s="4" t="s">
        <v>135</v>
      </c>
      <c r="AO15" s="4" t="s">
        <v>34</v>
      </c>
      <c r="AP15" s="4">
        <v>10</v>
      </c>
      <c r="AQ15" s="4" t="s">
        <v>136</v>
      </c>
      <c r="AR15" s="9">
        <v>8</v>
      </c>
    </row>
    <row r="16" spans="1:44" ht="12.5" x14ac:dyDescent="0.25">
      <c r="A16" s="2">
        <v>45358.697732395834</v>
      </c>
      <c r="B16" s="4">
        <v>10</v>
      </c>
      <c r="D16" s="4">
        <v>9</v>
      </c>
      <c r="F16" s="4">
        <v>10</v>
      </c>
      <c r="G16" s="4" t="s">
        <v>137</v>
      </c>
      <c r="H16" s="4">
        <v>9</v>
      </c>
      <c r="J16" s="4">
        <v>10</v>
      </c>
      <c r="L16" s="4">
        <v>7</v>
      </c>
      <c r="M16" s="4" t="s">
        <v>138</v>
      </c>
      <c r="N16" s="4">
        <v>10</v>
      </c>
      <c r="P16" s="4">
        <v>10</v>
      </c>
      <c r="R16" s="4">
        <v>10</v>
      </c>
      <c r="S16" s="4">
        <v>10</v>
      </c>
      <c r="T16" s="4" t="s">
        <v>139</v>
      </c>
      <c r="U16" s="4">
        <v>10</v>
      </c>
      <c r="W16" s="4">
        <v>10</v>
      </c>
      <c r="X16" s="4" t="s">
        <v>140</v>
      </c>
      <c r="Y16" s="4">
        <v>6</v>
      </c>
      <c r="Z16" s="4" t="s">
        <v>141</v>
      </c>
      <c r="AA16" s="4">
        <v>6</v>
      </c>
      <c r="AB16" s="4" t="s">
        <v>142</v>
      </c>
      <c r="AC16" s="11">
        <v>1</v>
      </c>
      <c r="AD16" s="18">
        <f t="shared" si="0"/>
        <v>10</v>
      </c>
      <c r="AE16" s="4" t="s">
        <v>143</v>
      </c>
      <c r="AF16" s="4" t="s">
        <v>35</v>
      </c>
      <c r="AG16" s="10">
        <v>10</v>
      </c>
      <c r="AH16" s="20">
        <v>3</v>
      </c>
      <c r="AI16" s="4" t="s">
        <v>35</v>
      </c>
      <c r="AJ16" s="4" t="s">
        <v>144</v>
      </c>
      <c r="AK16" s="4" t="s">
        <v>145</v>
      </c>
      <c r="AL16" s="4">
        <v>9</v>
      </c>
      <c r="AM16" s="4" t="s">
        <v>35</v>
      </c>
      <c r="AN16" s="4" t="s">
        <v>146</v>
      </c>
      <c r="AO16" s="4" t="s">
        <v>147</v>
      </c>
      <c r="AP16" s="4">
        <v>10</v>
      </c>
      <c r="AQ16" s="4" t="s">
        <v>148</v>
      </c>
      <c r="AR16" s="9">
        <v>10</v>
      </c>
    </row>
    <row r="17" spans="1:44" ht="12.5" x14ac:dyDescent="0.25">
      <c r="A17" s="2">
        <v>45358.721325659717</v>
      </c>
      <c r="B17" s="4">
        <v>7</v>
      </c>
      <c r="C17" s="4" t="s">
        <v>149</v>
      </c>
      <c r="D17" s="4">
        <v>6</v>
      </c>
      <c r="E17" s="4" t="s">
        <v>150</v>
      </c>
      <c r="F17" s="4">
        <v>2</v>
      </c>
      <c r="G17" s="4" t="s">
        <v>151</v>
      </c>
      <c r="H17" s="4">
        <v>5</v>
      </c>
      <c r="I17" s="4" t="s">
        <v>41</v>
      </c>
      <c r="J17" s="4">
        <v>6</v>
      </c>
      <c r="L17" s="4">
        <v>8</v>
      </c>
      <c r="M17" s="4" t="s">
        <v>152</v>
      </c>
      <c r="N17" s="4">
        <v>5</v>
      </c>
      <c r="O17" s="4" t="s">
        <v>153</v>
      </c>
      <c r="P17" s="4">
        <v>7</v>
      </c>
      <c r="R17" s="4">
        <v>1</v>
      </c>
      <c r="S17" s="4">
        <v>8</v>
      </c>
      <c r="U17" s="4">
        <v>7</v>
      </c>
      <c r="W17" s="4">
        <v>10</v>
      </c>
      <c r="X17" s="4" t="s">
        <v>154</v>
      </c>
      <c r="Y17" s="4">
        <v>6</v>
      </c>
      <c r="Z17" s="4" t="s">
        <v>155</v>
      </c>
      <c r="AA17" s="4">
        <v>9</v>
      </c>
      <c r="AB17" s="4" t="s">
        <v>41</v>
      </c>
      <c r="AC17" s="11">
        <v>1</v>
      </c>
      <c r="AD17" s="18">
        <f t="shared" si="0"/>
        <v>10</v>
      </c>
      <c r="AE17" s="4" t="s">
        <v>35</v>
      </c>
      <c r="AF17" s="4" t="s">
        <v>156</v>
      </c>
      <c r="AG17" s="10">
        <v>6</v>
      </c>
      <c r="AH17" s="20">
        <v>1</v>
      </c>
      <c r="AI17" s="4" t="s">
        <v>41</v>
      </c>
      <c r="AJ17" s="4" t="s">
        <v>157</v>
      </c>
      <c r="AK17" s="4" t="s">
        <v>158</v>
      </c>
      <c r="AL17" s="4">
        <v>6</v>
      </c>
      <c r="AM17" s="4" t="s">
        <v>35</v>
      </c>
      <c r="AN17" s="4" t="s">
        <v>159</v>
      </c>
      <c r="AO17" s="4" t="s">
        <v>35</v>
      </c>
      <c r="AP17" s="4">
        <v>10</v>
      </c>
      <c r="AQ17" s="4" t="s">
        <v>35</v>
      </c>
      <c r="AR17" s="9">
        <v>8</v>
      </c>
    </row>
    <row r="18" spans="1:44" ht="12.5" x14ac:dyDescent="0.25">
      <c r="A18" s="2">
        <v>45358.767887245369</v>
      </c>
      <c r="B18" s="4">
        <v>10</v>
      </c>
      <c r="D18" s="4">
        <v>10</v>
      </c>
      <c r="F18" s="4">
        <v>10</v>
      </c>
      <c r="H18" s="4">
        <v>10</v>
      </c>
      <c r="J18" s="4">
        <v>10</v>
      </c>
      <c r="L18" s="4">
        <v>10</v>
      </c>
      <c r="N18" s="4">
        <v>10</v>
      </c>
      <c r="P18" s="4">
        <v>10</v>
      </c>
      <c r="R18" s="4">
        <v>10</v>
      </c>
      <c r="S18" s="4">
        <v>10</v>
      </c>
      <c r="T18" s="4" t="s">
        <v>160</v>
      </c>
      <c r="U18" s="4">
        <v>10</v>
      </c>
      <c r="V18" s="4" t="s">
        <v>161</v>
      </c>
      <c r="W18" s="4">
        <v>10</v>
      </c>
      <c r="X18" s="4" t="s">
        <v>35</v>
      </c>
      <c r="Y18" s="4">
        <v>9</v>
      </c>
      <c r="Z18" s="4" t="s">
        <v>35</v>
      </c>
      <c r="AA18" s="4">
        <v>9</v>
      </c>
      <c r="AB18" s="4" t="s">
        <v>162</v>
      </c>
      <c r="AC18" s="11">
        <v>1</v>
      </c>
      <c r="AD18" s="18">
        <f t="shared" si="0"/>
        <v>10</v>
      </c>
      <c r="AE18" s="4" t="s">
        <v>163</v>
      </c>
      <c r="AF18" s="4" t="s">
        <v>155</v>
      </c>
      <c r="AG18" s="10">
        <v>10</v>
      </c>
      <c r="AH18" s="20">
        <v>3</v>
      </c>
      <c r="AI18" s="4" t="s">
        <v>164</v>
      </c>
      <c r="AJ18" s="4" t="s">
        <v>129</v>
      </c>
      <c r="AK18" s="4" t="s">
        <v>165</v>
      </c>
      <c r="AL18" s="4">
        <v>10</v>
      </c>
      <c r="AM18" s="4" t="s">
        <v>166</v>
      </c>
      <c r="AN18" s="4" t="s">
        <v>167</v>
      </c>
      <c r="AO18" s="4" t="s">
        <v>168</v>
      </c>
      <c r="AP18" s="4">
        <v>10</v>
      </c>
      <c r="AQ18" s="4" t="s">
        <v>169</v>
      </c>
      <c r="AR18" s="9">
        <v>10</v>
      </c>
    </row>
    <row r="19" spans="1:44" ht="12.5" x14ac:dyDescent="0.25">
      <c r="A19" s="2">
        <v>45363.970975543984</v>
      </c>
      <c r="B19" s="4">
        <v>10</v>
      </c>
      <c r="D19" s="4">
        <v>10</v>
      </c>
      <c r="F19" s="4">
        <v>10</v>
      </c>
      <c r="H19" s="4">
        <v>10</v>
      </c>
      <c r="J19" s="4">
        <v>10</v>
      </c>
      <c r="L19" s="4">
        <v>10</v>
      </c>
      <c r="N19" s="4">
        <v>10</v>
      </c>
      <c r="P19" s="4">
        <v>10</v>
      </c>
      <c r="R19" s="4">
        <v>10</v>
      </c>
      <c r="S19" s="4">
        <v>10</v>
      </c>
      <c r="U19" s="4">
        <v>10</v>
      </c>
      <c r="W19" s="4">
        <v>10</v>
      </c>
      <c r="X19" s="4" t="s">
        <v>170</v>
      </c>
      <c r="Y19" s="4">
        <v>5</v>
      </c>
      <c r="Z19" s="4" t="s">
        <v>170</v>
      </c>
      <c r="AA19" s="4">
        <v>5</v>
      </c>
      <c r="AB19" s="4" t="s">
        <v>26</v>
      </c>
      <c r="AC19" s="11">
        <v>3</v>
      </c>
      <c r="AD19" s="18">
        <f t="shared" si="0"/>
        <v>6</v>
      </c>
      <c r="AE19" s="4" t="s">
        <v>26</v>
      </c>
      <c r="AF19" s="4" t="s">
        <v>26</v>
      </c>
      <c r="AG19" s="10">
        <v>5</v>
      </c>
      <c r="AH19" s="20">
        <v>2</v>
      </c>
      <c r="AI19" s="4" t="s">
        <v>26</v>
      </c>
      <c r="AJ19" s="4" t="s">
        <v>26</v>
      </c>
      <c r="AK19" s="4" t="s">
        <v>26</v>
      </c>
      <c r="AL19" s="4">
        <v>5</v>
      </c>
      <c r="AM19" s="4" t="s">
        <v>26</v>
      </c>
      <c r="AN19" s="4" t="s">
        <v>26</v>
      </c>
      <c r="AO19" s="4" t="s">
        <v>26</v>
      </c>
      <c r="AP19" s="4">
        <v>5</v>
      </c>
      <c r="AQ19" s="4" t="s">
        <v>26</v>
      </c>
      <c r="AR19" s="9">
        <v>5</v>
      </c>
    </row>
    <row r="20" spans="1:44" ht="12.5" x14ac:dyDescent="0.25">
      <c r="A20" s="2">
        <v>45363.971617303236</v>
      </c>
      <c r="B20" s="4">
        <v>10</v>
      </c>
      <c r="D20" s="4">
        <v>10</v>
      </c>
      <c r="F20" s="4">
        <v>10</v>
      </c>
      <c r="H20" s="4">
        <v>10</v>
      </c>
      <c r="J20" s="4">
        <v>10</v>
      </c>
      <c r="L20" s="4">
        <v>10</v>
      </c>
      <c r="N20" s="4">
        <v>10</v>
      </c>
      <c r="P20" s="4">
        <v>10</v>
      </c>
      <c r="R20" s="4">
        <v>10</v>
      </c>
      <c r="S20" s="4">
        <v>10</v>
      </c>
      <c r="U20" s="4">
        <v>10</v>
      </c>
      <c r="W20" s="4">
        <v>10</v>
      </c>
      <c r="X20" s="4" t="s">
        <v>26</v>
      </c>
      <c r="Y20" s="4">
        <v>5</v>
      </c>
      <c r="Z20" s="4" t="s">
        <v>26</v>
      </c>
      <c r="AA20" s="4">
        <v>5</v>
      </c>
      <c r="AB20" s="4" t="s">
        <v>26</v>
      </c>
      <c r="AC20" s="11">
        <v>3</v>
      </c>
      <c r="AD20" s="18">
        <f t="shared" si="0"/>
        <v>6</v>
      </c>
      <c r="AE20" s="4" t="s">
        <v>26</v>
      </c>
      <c r="AF20" s="4" t="s">
        <v>26</v>
      </c>
      <c r="AG20" s="10">
        <v>5</v>
      </c>
      <c r="AH20" s="20">
        <v>2</v>
      </c>
      <c r="AI20" s="4" t="s">
        <v>26</v>
      </c>
      <c r="AJ20" s="4" t="s">
        <v>26</v>
      </c>
      <c r="AK20" s="4" t="s">
        <v>26</v>
      </c>
      <c r="AL20" s="4">
        <v>5</v>
      </c>
      <c r="AM20" s="4" t="s">
        <v>26</v>
      </c>
      <c r="AN20" s="4" t="s">
        <v>26</v>
      </c>
      <c r="AO20" s="4" t="s">
        <v>26</v>
      </c>
      <c r="AP20" s="4">
        <v>5</v>
      </c>
      <c r="AQ20" s="4" t="s">
        <v>26</v>
      </c>
      <c r="AR20" s="9">
        <v>5</v>
      </c>
    </row>
    <row r="21" spans="1:44" ht="12.5" x14ac:dyDescent="0.25">
      <c r="A21" s="2">
        <v>45363.972366689813</v>
      </c>
      <c r="B21" s="4">
        <v>10</v>
      </c>
      <c r="D21" s="4">
        <v>10</v>
      </c>
      <c r="F21" s="4">
        <v>10</v>
      </c>
      <c r="H21" s="4">
        <v>10</v>
      </c>
      <c r="J21" s="4">
        <v>10</v>
      </c>
      <c r="L21" s="4">
        <v>10</v>
      </c>
      <c r="N21" s="4">
        <v>10</v>
      </c>
      <c r="P21" s="4">
        <v>10</v>
      </c>
      <c r="R21" s="4">
        <v>10</v>
      </c>
      <c r="S21" s="4">
        <v>10</v>
      </c>
      <c r="U21" s="4">
        <v>10</v>
      </c>
      <c r="W21" s="4">
        <v>10</v>
      </c>
      <c r="X21" s="4" t="s">
        <v>26</v>
      </c>
      <c r="Y21" s="4">
        <v>5</v>
      </c>
      <c r="Z21" s="4" t="s">
        <v>26</v>
      </c>
      <c r="AA21" s="4">
        <v>5</v>
      </c>
      <c r="AB21" s="4" t="s">
        <v>26</v>
      </c>
      <c r="AC21" s="11">
        <v>3</v>
      </c>
      <c r="AD21" s="18">
        <f t="shared" si="0"/>
        <v>6</v>
      </c>
      <c r="AE21" s="4" t="s">
        <v>26</v>
      </c>
      <c r="AF21" s="4" t="s">
        <v>26</v>
      </c>
      <c r="AG21" s="10">
        <v>5</v>
      </c>
      <c r="AH21" s="20">
        <v>2</v>
      </c>
      <c r="AI21" s="4" t="s">
        <v>26</v>
      </c>
      <c r="AJ21" s="4" t="s">
        <v>26</v>
      </c>
      <c r="AK21" s="4" t="s">
        <v>26</v>
      </c>
      <c r="AL21" s="4">
        <v>5</v>
      </c>
      <c r="AM21" s="4" t="s">
        <v>26</v>
      </c>
      <c r="AN21" s="4" t="s">
        <v>26</v>
      </c>
      <c r="AO21" s="4" t="s">
        <v>26</v>
      </c>
      <c r="AP21" s="4">
        <v>5</v>
      </c>
      <c r="AQ21" s="4" t="s">
        <v>26</v>
      </c>
      <c r="AR21" s="9">
        <v>5</v>
      </c>
    </row>
    <row r="22" spans="1:44" ht="12.5" x14ac:dyDescent="0.25">
      <c r="A22" s="2">
        <v>45363.973400659721</v>
      </c>
      <c r="B22" s="4">
        <v>10</v>
      </c>
      <c r="D22" s="4">
        <v>10</v>
      </c>
      <c r="F22" s="4">
        <v>10</v>
      </c>
      <c r="H22" s="4">
        <v>10</v>
      </c>
      <c r="J22" s="4">
        <v>10</v>
      </c>
      <c r="L22" s="4">
        <v>10</v>
      </c>
      <c r="N22" s="4">
        <v>10</v>
      </c>
      <c r="P22" s="4">
        <v>10</v>
      </c>
      <c r="R22" s="4">
        <v>10</v>
      </c>
      <c r="S22" s="4">
        <v>10</v>
      </c>
      <c r="U22" s="4">
        <v>10</v>
      </c>
      <c r="W22" s="4">
        <v>10</v>
      </c>
      <c r="X22" s="4" t="s">
        <v>26</v>
      </c>
      <c r="Y22" s="4">
        <v>5</v>
      </c>
      <c r="Z22" s="4" t="s">
        <v>26</v>
      </c>
      <c r="AA22" s="4">
        <v>5</v>
      </c>
      <c r="AB22" s="4" t="s">
        <v>26</v>
      </c>
      <c r="AC22" s="11">
        <v>4</v>
      </c>
      <c r="AD22" s="18">
        <f t="shared" si="0"/>
        <v>4</v>
      </c>
      <c r="AE22" s="4" t="s">
        <v>26</v>
      </c>
      <c r="AF22" s="4" t="s">
        <v>26</v>
      </c>
      <c r="AG22" s="10">
        <v>5</v>
      </c>
      <c r="AH22" s="20">
        <v>2</v>
      </c>
      <c r="AI22" s="4" t="s">
        <v>26</v>
      </c>
      <c r="AJ22" s="4" t="s">
        <v>26</v>
      </c>
      <c r="AK22" s="4" t="s">
        <v>26</v>
      </c>
      <c r="AL22" s="4">
        <v>5</v>
      </c>
      <c r="AM22" s="4" t="s">
        <v>26</v>
      </c>
      <c r="AN22" s="4" t="s">
        <v>26</v>
      </c>
      <c r="AO22" s="4" t="s">
        <v>26</v>
      </c>
      <c r="AP22" s="4">
        <v>5</v>
      </c>
      <c r="AQ22" s="4" t="s">
        <v>26</v>
      </c>
      <c r="AR22" s="9">
        <v>5</v>
      </c>
    </row>
    <row r="23" spans="1:44" ht="12.5" x14ac:dyDescent="0.25">
      <c r="A23" s="2">
        <v>45363.974083136578</v>
      </c>
      <c r="B23" s="4">
        <v>10</v>
      </c>
      <c r="D23" s="4">
        <v>10</v>
      </c>
      <c r="F23" s="4">
        <v>10</v>
      </c>
      <c r="H23" s="4">
        <v>10</v>
      </c>
      <c r="J23" s="4">
        <v>10</v>
      </c>
      <c r="L23" s="4">
        <v>10</v>
      </c>
      <c r="N23" s="4">
        <v>10</v>
      </c>
      <c r="P23" s="4">
        <v>10</v>
      </c>
      <c r="R23" s="4">
        <v>10</v>
      </c>
      <c r="S23" s="4">
        <v>10</v>
      </c>
      <c r="U23" s="4">
        <v>10</v>
      </c>
      <c r="W23" s="4">
        <v>10</v>
      </c>
      <c r="X23" s="4" t="s">
        <v>26</v>
      </c>
      <c r="Y23" s="4">
        <v>5</v>
      </c>
      <c r="Z23" s="4" t="s">
        <v>26</v>
      </c>
      <c r="AA23" s="4">
        <v>5</v>
      </c>
      <c r="AB23" s="4" t="s">
        <v>26</v>
      </c>
      <c r="AC23" s="11">
        <v>4</v>
      </c>
      <c r="AD23" s="18">
        <f t="shared" si="0"/>
        <v>4</v>
      </c>
      <c r="AE23" s="4" t="s">
        <v>26</v>
      </c>
      <c r="AF23" s="4" t="s">
        <v>26</v>
      </c>
      <c r="AG23" s="10">
        <v>5</v>
      </c>
      <c r="AH23" s="20">
        <v>2</v>
      </c>
      <c r="AI23" s="4" t="s">
        <v>26</v>
      </c>
      <c r="AJ23" s="4" t="s">
        <v>26</v>
      </c>
      <c r="AK23" s="4" t="s">
        <v>26</v>
      </c>
      <c r="AL23" s="4">
        <v>5</v>
      </c>
      <c r="AM23" s="4" t="s">
        <v>26</v>
      </c>
      <c r="AN23" s="4" t="s">
        <v>26</v>
      </c>
      <c r="AO23" s="4" t="s">
        <v>26</v>
      </c>
      <c r="AP23" s="4">
        <v>5</v>
      </c>
      <c r="AQ23" s="4" t="s">
        <v>26</v>
      </c>
      <c r="AR23" s="9">
        <v>5</v>
      </c>
    </row>
    <row r="24" spans="1:44" ht="12.5" x14ac:dyDescent="0.25">
      <c r="A24" s="2">
        <v>45363.974777106487</v>
      </c>
      <c r="B24" s="4">
        <v>10</v>
      </c>
      <c r="D24" s="4">
        <v>10</v>
      </c>
      <c r="F24" s="4">
        <v>10</v>
      </c>
      <c r="H24" s="4">
        <v>10</v>
      </c>
      <c r="J24" s="4">
        <v>10</v>
      </c>
      <c r="L24" s="4">
        <v>10</v>
      </c>
      <c r="N24" s="4">
        <v>10</v>
      </c>
      <c r="P24" s="4">
        <v>10</v>
      </c>
      <c r="R24" s="4">
        <v>10</v>
      </c>
      <c r="S24" s="4">
        <v>10</v>
      </c>
      <c r="U24" s="4">
        <v>10</v>
      </c>
      <c r="W24" s="4">
        <v>10</v>
      </c>
      <c r="X24" s="4" t="s">
        <v>26</v>
      </c>
      <c r="Y24" s="4">
        <v>5</v>
      </c>
      <c r="Z24" s="4" t="s">
        <v>26</v>
      </c>
      <c r="AA24" s="4">
        <v>5</v>
      </c>
      <c r="AB24" s="4" t="s">
        <v>26</v>
      </c>
      <c r="AC24" s="11">
        <v>4</v>
      </c>
      <c r="AD24" s="18">
        <f t="shared" si="0"/>
        <v>4</v>
      </c>
      <c r="AE24" s="4" t="s">
        <v>26</v>
      </c>
      <c r="AF24" s="4" t="s">
        <v>26</v>
      </c>
      <c r="AG24" s="10">
        <v>5</v>
      </c>
      <c r="AH24" s="20">
        <v>2</v>
      </c>
      <c r="AI24" s="4" t="s">
        <v>26</v>
      </c>
      <c r="AJ24" s="4" t="s">
        <v>26</v>
      </c>
      <c r="AK24" s="4" t="s">
        <v>26</v>
      </c>
      <c r="AL24" s="4">
        <v>5</v>
      </c>
      <c r="AM24" s="4" t="s">
        <v>26</v>
      </c>
      <c r="AN24" s="4" t="s">
        <v>26</v>
      </c>
      <c r="AO24" s="4" t="s">
        <v>26</v>
      </c>
      <c r="AP24" s="4">
        <v>5</v>
      </c>
      <c r="AQ24" s="4" t="s">
        <v>26</v>
      </c>
      <c r="AR24" s="9">
        <v>5</v>
      </c>
    </row>
    <row r="26" spans="1:44" ht="15.75" customHeight="1" x14ac:dyDescent="0.25">
      <c r="A26" t="s">
        <v>171</v>
      </c>
      <c r="B26">
        <f>AVERAGE(B3:B24)</f>
        <v>8.3181818181818183</v>
      </c>
      <c r="C26" t="e">
        <f t="shared" ref="C26:AQ26" si="1">AVERAGE(C3:C24)</f>
        <v>#DIV/0!</v>
      </c>
      <c r="D26">
        <f t="shared" si="1"/>
        <v>9.045454545454545</v>
      </c>
      <c r="E26" t="e">
        <f t="shared" si="1"/>
        <v>#DIV/0!</v>
      </c>
      <c r="F26">
        <f t="shared" si="1"/>
        <v>8.1818181818181817</v>
      </c>
      <c r="G26" t="e">
        <f t="shared" si="1"/>
        <v>#DIV/0!</v>
      </c>
      <c r="H26">
        <f t="shared" si="1"/>
        <v>9</v>
      </c>
      <c r="I26" t="e">
        <f t="shared" si="1"/>
        <v>#DIV/0!</v>
      </c>
      <c r="J26">
        <f t="shared" si="1"/>
        <v>9.2272727272727266</v>
      </c>
      <c r="K26" t="e">
        <f t="shared" si="1"/>
        <v>#DIV/0!</v>
      </c>
      <c r="L26">
        <f t="shared" si="1"/>
        <v>8.545454545454545</v>
      </c>
      <c r="M26" t="e">
        <f t="shared" si="1"/>
        <v>#DIV/0!</v>
      </c>
      <c r="N26">
        <f t="shared" si="1"/>
        <v>8.5</v>
      </c>
      <c r="O26" t="e">
        <f t="shared" si="1"/>
        <v>#DIV/0!</v>
      </c>
      <c r="P26">
        <f t="shared" si="1"/>
        <v>8.7272727272727266</v>
      </c>
      <c r="Q26" t="e">
        <f t="shared" si="1"/>
        <v>#DIV/0!</v>
      </c>
      <c r="R26">
        <f t="shared" si="1"/>
        <v>9.3181818181818183</v>
      </c>
      <c r="S26">
        <f t="shared" si="1"/>
        <v>9.6363636363636367</v>
      </c>
      <c r="T26" t="e">
        <f t="shared" si="1"/>
        <v>#DIV/0!</v>
      </c>
      <c r="U26">
        <f t="shared" si="1"/>
        <v>9.8636363636363633</v>
      </c>
      <c r="V26" t="e">
        <f t="shared" si="1"/>
        <v>#DIV/0!</v>
      </c>
      <c r="W26">
        <f t="shared" si="1"/>
        <v>9.6363636363636367</v>
      </c>
      <c r="X26" t="e">
        <f t="shared" si="1"/>
        <v>#DIV/0!</v>
      </c>
      <c r="Y26">
        <f t="shared" ref="Y26" si="2">AVERAGE(Y3:Y24)</f>
        <v>7.6363636363636367</v>
      </c>
      <c r="Z26" t="e">
        <f t="shared" si="1"/>
        <v>#DIV/0!</v>
      </c>
      <c r="AA26">
        <f t="shared" ref="AA26" si="3">AVERAGE(AA3:AA24)</f>
        <v>7.4545454545454541</v>
      </c>
      <c r="AB26" t="e">
        <f t="shared" si="1"/>
        <v>#DIV/0!</v>
      </c>
      <c r="AD26">
        <f t="shared" ref="AD26" si="4">AVERAGE(AD3:AD24)</f>
        <v>8.2727272727272734</v>
      </c>
      <c r="AE26" t="e">
        <f t="shared" si="1"/>
        <v>#DIV/0!</v>
      </c>
      <c r="AF26" t="e">
        <f t="shared" si="1"/>
        <v>#DIV/0!</v>
      </c>
      <c r="AG26">
        <f t="shared" ref="AG26" si="5">AVERAGE(AG3:AG24)</f>
        <v>7.4545454545454541</v>
      </c>
      <c r="AH26">
        <f>10*AVERAGE(AH3:AH24)/3</f>
        <v>7.7272727272727275</v>
      </c>
      <c r="AI26" t="e">
        <f t="shared" si="1"/>
        <v>#DIV/0!</v>
      </c>
      <c r="AJ26" t="e">
        <f t="shared" si="1"/>
        <v>#DIV/0!</v>
      </c>
      <c r="AK26" t="e">
        <f t="shared" si="1"/>
        <v>#DIV/0!</v>
      </c>
      <c r="AL26">
        <f t="shared" ref="AL26" si="6">AVERAGE(AL3:AL24)</f>
        <v>7.4545454545454541</v>
      </c>
      <c r="AM26" t="e">
        <f t="shared" si="1"/>
        <v>#DIV/0!</v>
      </c>
      <c r="AN26" t="e">
        <f t="shared" si="1"/>
        <v>#DIV/0!</v>
      </c>
      <c r="AO26" t="e">
        <f t="shared" si="1"/>
        <v>#DIV/0!</v>
      </c>
      <c r="AP26">
        <f t="shared" ref="AP26" si="7">AVERAGE(AP3:AP24)</f>
        <v>8.545454545454545</v>
      </c>
      <c r="AQ26" t="e">
        <f t="shared" si="1"/>
        <v>#DIV/0!</v>
      </c>
      <c r="AR26">
        <f t="shared" ref="AR26" si="8">AVERAGE(AR3:AR24)</f>
        <v>7.6363636363636367</v>
      </c>
    </row>
    <row r="27" spans="1:44" ht="15.75" customHeight="1" x14ac:dyDescent="0.25">
      <c r="A27" t="s">
        <v>172</v>
      </c>
      <c r="B27">
        <f>_xlfn.STDEV.S(B3:B24)</f>
        <v>2.1905938233048357</v>
      </c>
      <c r="C27" t="e">
        <f t="shared" ref="C27:AQ27" si="9">_xlfn.STDEV.S(C3:C24)</f>
        <v>#DIV/0!</v>
      </c>
      <c r="D27">
        <f t="shared" si="9"/>
        <v>1.7855844108615224</v>
      </c>
      <c r="E27" t="e">
        <f t="shared" si="9"/>
        <v>#DIV/0!</v>
      </c>
      <c r="F27">
        <f t="shared" si="9"/>
        <v>2.2811100813996688</v>
      </c>
      <c r="G27" t="e">
        <f t="shared" si="9"/>
        <v>#DIV/0!</v>
      </c>
      <c r="H27">
        <f t="shared" si="9"/>
        <v>1.5735915849388864</v>
      </c>
      <c r="I27" t="e">
        <f t="shared" si="9"/>
        <v>#DIV/0!</v>
      </c>
      <c r="J27">
        <f t="shared" si="9"/>
        <v>2.0686277526951953</v>
      </c>
      <c r="K27" t="e">
        <f t="shared" si="9"/>
        <v>#DIV/0!</v>
      </c>
      <c r="L27">
        <f t="shared" si="9"/>
        <v>2.2620528545732785</v>
      </c>
      <c r="M27" t="e">
        <f t="shared" si="9"/>
        <v>#DIV/0!</v>
      </c>
      <c r="N27">
        <f t="shared" si="9"/>
        <v>2.5773740789526736</v>
      </c>
      <c r="O27" t="e">
        <f t="shared" si="9"/>
        <v>#DIV/0!</v>
      </c>
      <c r="P27">
        <f t="shared" si="9"/>
        <v>2.3336425274423331</v>
      </c>
      <c r="Q27" t="e">
        <f t="shared" si="9"/>
        <v>#DIV/0!</v>
      </c>
      <c r="R27">
        <f t="shared" si="9"/>
        <v>2.0091780749342592</v>
      </c>
      <c r="S27">
        <f t="shared" si="9"/>
        <v>1.0021621646864345</v>
      </c>
      <c r="T27" t="e">
        <f t="shared" si="9"/>
        <v>#DIV/0!</v>
      </c>
      <c r="U27">
        <f t="shared" si="9"/>
        <v>0.63960214906683133</v>
      </c>
      <c r="V27" t="e">
        <f t="shared" si="9"/>
        <v>#DIV/0!</v>
      </c>
      <c r="W27">
        <f t="shared" si="9"/>
        <v>1.3289972784899757</v>
      </c>
      <c r="X27" t="e">
        <f t="shared" si="9"/>
        <v>#DIV/0!</v>
      </c>
      <c r="Y27">
        <f t="shared" ref="Y27" si="10">_xlfn.STDEV.S(Y3:Y24)</f>
        <v>1.9650628136199255</v>
      </c>
      <c r="Z27" t="e">
        <f t="shared" si="9"/>
        <v>#DIV/0!</v>
      </c>
      <c r="AA27">
        <f t="shared" ref="AA27" si="11">_xlfn.STDEV.S(AA3:AA24)</f>
        <v>1.8186146670912202</v>
      </c>
      <c r="AB27" t="e">
        <f t="shared" si="9"/>
        <v>#DIV/0!</v>
      </c>
      <c r="AD27">
        <f t="shared" ref="AD27" si="12">_xlfn.STDEV.S(AD3:AD24)</f>
        <v>2.7112080979978916</v>
      </c>
      <c r="AE27" t="e">
        <f t="shared" si="9"/>
        <v>#DIV/0!</v>
      </c>
      <c r="AF27" t="e">
        <f t="shared" si="9"/>
        <v>#DIV/0!</v>
      </c>
      <c r="AG27">
        <f t="shared" ref="AG27" si="13">_xlfn.STDEV.S(AG3:AG24)</f>
        <v>1.8446130766633431</v>
      </c>
      <c r="AH27">
        <f>10*_xlfn.STDEV.S(AH3:AH24)/3</f>
        <v>2.3874370567316947</v>
      </c>
      <c r="AI27" t="e">
        <f t="shared" si="9"/>
        <v>#DIV/0!</v>
      </c>
      <c r="AJ27" t="e">
        <f t="shared" si="9"/>
        <v>#DIV/0!</v>
      </c>
      <c r="AK27" t="e">
        <f t="shared" si="9"/>
        <v>#DIV/0!</v>
      </c>
      <c r="AL27">
        <f t="shared" ref="AL27" si="14">_xlfn.STDEV.S(AL3:AL24)</f>
        <v>2.1542266920388493</v>
      </c>
      <c r="AM27" t="e">
        <f t="shared" si="9"/>
        <v>#DIV/0!</v>
      </c>
      <c r="AN27" t="e">
        <f t="shared" si="9"/>
        <v>#DIV/0!</v>
      </c>
      <c r="AO27" t="e">
        <f t="shared" si="9"/>
        <v>#DIV/0!</v>
      </c>
      <c r="AP27">
        <f t="shared" ref="AP27" si="15">_xlfn.STDEV.S(AP3:AP24)</f>
        <v>2.2620528545732785</v>
      </c>
      <c r="AQ27" t="e">
        <f t="shared" si="9"/>
        <v>#DIV/0!</v>
      </c>
      <c r="AR27">
        <f t="shared" ref="AR27" si="16">_xlfn.STDEV.S(AR3:AR24)</f>
        <v>1.9406786870148707</v>
      </c>
    </row>
    <row r="29" spans="1:44" ht="15.75" customHeight="1" x14ac:dyDescent="0.25">
      <c r="Q29" t="s">
        <v>184</v>
      </c>
      <c r="R29" t="s">
        <v>186</v>
      </c>
    </row>
    <row r="30" spans="1:44" ht="15.75" customHeight="1" thickBot="1" x14ac:dyDescent="0.3">
      <c r="Q30" t="s">
        <v>185</v>
      </c>
    </row>
    <row r="31" spans="1:44" ht="15.75" customHeight="1" thickBot="1" x14ac:dyDescent="0.3">
      <c r="Q31" s="5" t="s">
        <v>173</v>
      </c>
      <c r="R31" s="6" t="s">
        <v>174</v>
      </c>
      <c r="S31" s="6" t="s">
        <v>172</v>
      </c>
      <c r="T31" s="21" t="s">
        <v>175</v>
      </c>
      <c r="U31" s="21" t="s">
        <v>176</v>
      </c>
    </row>
    <row r="32" spans="1:44" ht="15.75" customHeight="1" thickBot="1" x14ac:dyDescent="0.3">
      <c r="Q32" s="7" t="s">
        <v>177</v>
      </c>
      <c r="R32" s="8">
        <v>8.5</v>
      </c>
      <c r="S32" s="8">
        <v>2.57</v>
      </c>
      <c r="T32" s="8">
        <v>0.53500000000000003</v>
      </c>
      <c r="U32" s="8">
        <v>1.0500000000000001E-2</v>
      </c>
    </row>
    <row r="33" spans="17:21" ht="15.75" customHeight="1" thickBot="1" x14ac:dyDescent="0.3">
      <c r="Q33" s="7" t="s">
        <v>178</v>
      </c>
      <c r="R33" s="8">
        <v>8.7200000000000006</v>
      </c>
      <c r="S33" s="8">
        <v>2.33</v>
      </c>
      <c r="T33" s="8">
        <v>0.48599999999999999</v>
      </c>
      <c r="U33" s="8">
        <v>1.8E-3</v>
      </c>
    </row>
    <row r="34" spans="17:21" ht="15.75" customHeight="1" thickBot="1" x14ac:dyDescent="0.3">
      <c r="Q34" s="7" t="s">
        <v>179</v>
      </c>
      <c r="R34" s="8">
        <v>9.86</v>
      </c>
      <c r="S34" s="8">
        <v>0.63</v>
      </c>
      <c r="T34" s="8">
        <v>0.13</v>
      </c>
      <c r="U34" s="8">
        <v>1E-4</v>
      </c>
    </row>
    <row r="35" spans="17:21" ht="15.75" customHeight="1" thickBot="1" x14ac:dyDescent="0.3">
      <c r="Q35" s="7" t="s">
        <v>180</v>
      </c>
      <c r="R35" s="8">
        <v>9.6300000000000008</v>
      </c>
      <c r="S35" s="8">
        <v>1.32</v>
      </c>
      <c r="T35" s="8">
        <v>0.27500000000000002</v>
      </c>
      <c r="U35" s="8">
        <v>1E-4</v>
      </c>
    </row>
    <row r="38" spans="17:21" ht="15.75" customHeight="1" x14ac:dyDescent="0.25">
      <c r="R38">
        <f>AVERAGE(R32:R35)</f>
        <v>9.1775000000000002</v>
      </c>
    </row>
  </sheetData>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24"/>
  <sheetViews>
    <sheetView tabSelected="1" workbookViewId="0">
      <pane ySplit="2" topLeftCell="A3" activePane="bottomLeft" state="frozen"/>
      <selection pane="bottomLeft" sqref="A1:XFD1"/>
    </sheetView>
  </sheetViews>
  <sheetFormatPr defaultColWidth="12.54296875" defaultRowHeight="15.75" customHeight="1" x14ac:dyDescent="0.25"/>
  <cols>
    <col min="1" max="41" width="18.81640625" customWidth="1"/>
  </cols>
  <sheetData>
    <row r="1" spans="1:35" ht="15.75" customHeight="1" x14ac:dyDescent="0.25">
      <c r="B1" t="s">
        <v>177</v>
      </c>
      <c r="D1" t="s">
        <v>178</v>
      </c>
      <c r="F1" t="s">
        <v>179</v>
      </c>
      <c r="H1" t="s">
        <v>180</v>
      </c>
      <c r="J1" t="s">
        <v>194</v>
      </c>
      <c r="L1" t="s">
        <v>195</v>
      </c>
      <c r="N1" t="s">
        <v>196</v>
      </c>
      <c r="P1" t="s">
        <v>197</v>
      </c>
      <c r="R1" t="s">
        <v>198</v>
      </c>
      <c r="S1" t="s">
        <v>199</v>
      </c>
      <c r="U1" t="s">
        <v>200</v>
      </c>
      <c r="W1" t="s">
        <v>201</v>
      </c>
      <c r="X1" t="s">
        <v>202</v>
      </c>
      <c r="Y1" t="s">
        <v>203</v>
      </c>
      <c r="Z1" t="s">
        <v>204</v>
      </c>
      <c r="AA1" t="s">
        <v>205</v>
      </c>
      <c r="AB1" t="s">
        <v>206</v>
      </c>
      <c r="AC1" t="s">
        <v>207</v>
      </c>
      <c r="AD1" t="s">
        <v>208</v>
      </c>
      <c r="AE1" t="s">
        <v>209</v>
      </c>
      <c r="AF1" t="s">
        <v>210</v>
      </c>
      <c r="AG1" t="s">
        <v>211</v>
      </c>
      <c r="AH1" t="s">
        <v>212</v>
      </c>
      <c r="AI1" t="s">
        <v>213</v>
      </c>
    </row>
    <row r="2" spans="1:35" ht="15.75" customHeight="1" x14ac:dyDescent="0.25">
      <c r="A2" s="1" t="s">
        <v>0</v>
      </c>
      <c r="B2" s="1" t="s">
        <v>1</v>
      </c>
      <c r="C2" s="1" t="s">
        <v>2</v>
      </c>
      <c r="D2" s="1" t="s">
        <v>3</v>
      </c>
      <c r="E2" s="1" t="s">
        <v>2</v>
      </c>
      <c r="F2" s="1" t="s">
        <v>4</v>
      </c>
      <c r="G2" s="1" t="s">
        <v>2</v>
      </c>
      <c r="H2" s="1" t="s">
        <v>5</v>
      </c>
      <c r="I2" s="1" t="s">
        <v>2</v>
      </c>
      <c r="J2" s="1" t="s">
        <v>6</v>
      </c>
      <c r="K2" s="1" t="s">
        <v>2</v>
      </c>
      <c r="L2" s="1" t="s">
        <v>7</v>
      </c>
      <c r="M2" s="1" t="s">
        <v>2</v>
      </c>
      <c r="N2" s="1" t="s">
        <v>8</v>
      </c>
      <c r="O2" s="1" t="s">
        <v>2</v>
      </c>
      <c r="P2" s="1" t="s">
        <v>9</v>
      </c>
      <c r="Q2" s="1" t="s">
        <v>2</v>
      </c>
      <c r="R2" s="1" t="s">
        <v>10</v>
      </c>
      <c r="S2" s="1" t="s">
        <v>11</v>
      </c>
      <c r="T2" s="1" t="s">
        <v>2</v>
      </c>
      <c r="U2" s="1" t="s">
        <v>12</v>
      </c>
      <c r="V2" s="1" t="s">
        <v>2</v>
      </c>
      <c r="W2" s="1" t="s">
        <v>13</v>
      </c>
      <c r="X2" s="1" t="s">
        <v>14</v>
      </c>
      <c r="Y2" s="1" t="s">
        <v>15</v>
      </c>
      <c r="Z2" s="1" t="s">
        <v>16</v>
      </c>
      <c r="AA2" s="1" t="s">
        <v>17</v>
      </c>
      <c r="AB2" s="1" t="s">
        <v>18</v>
      </c>
      <c r="AC2" s="1" t="s">
        <v>19</v>
      </c>
      <c r="AD2" s="1" t="s">
        <v>20</v>
      </c>
      <c r="AE2" s="1" t="s">
        <v>21</v>
      </c>
      <c r="AF2" s="1" t="s">
        <v>22</v>
      </c>
      <c r="AG2" s="1" t="s">
        <v>23</v>
      </c>
      <c r="AH2" s="1" t="s">
        <v>24</v>
      </c>
      <c r="AI2" s="1" t="s">
        <v>25</v>
      </c>
    </row>
    <row r="3" spans="1:35" ht="15.75" customHeight="1" x14ac:dyDescent="0.25">
      <c r="A3" s="2">
        <v>45357.410889421299</v>
      </c>
      <c r="B3" s="3">
        <v>5</v>
      </c>
      <c r="C3" s="3" t="s">
        <v>26</v>
      </c>
      <c r="D3" s="3">
        <v>7</v>
      </c>
      <c r="E3" s="3" t="s">
        <v>27</v>
      </c>
      <c r="F3" s="3">
        <v>7</v>
      </c>
      <c r="G3" s="3" t="s">
        <v>28</v>
      </c>
      <c r="H3" s="3">
        <v>10</v>
      </c>
      <c r="I3" s="3" t="s">
        <v>26</v>
      </c>
      <c r="J3" s="3">
        <v>10</v>
      </c>
      <c r="K3" s="3" t="s">
        <v>26</v>
      </c>
      <c r="L3" s="3">
        <v>8</v>
      </c>
      <c r="M3" s="3" t="s">
        <v>26</v>
      </c>
      <c r="N3" s="3">
        <v>10</v>
      </c>
      <c r="O3" s="3" t="s">
        <v>26</v>
      </c>
      <c r="P3" s="3">
        <v>7</v>
      </c>
      <c r="R3" s="3">
        <v>10</v>
      </c>
      <c r="S3" s="3">
        <v>10</v>
      </c>
      <c r="U3" s="3">
        <v>10</v>
      </c>
      <c r="W3" s="3">
        <v>10</v>
      </c>
      <c r="X3" s="3" t="s">
        <v>29</v>
      </c>
      <c r="Y3" s="3" t="s">
        <v>30</v>
      </c>
      <c r="Z3" s="3" t="s">
        <v>31</v>
      </c>
      <c r="AA3" s="3" t="s">
        <v>32</v>
      </c>
      <c r="AB3" s="3" t="s">
        <v>33</v>
      </c>
      <c r="AC3" s="3" t="s">
        <v>34</v>
      </c>
      <c r="AD3" s="3" t="s">
        <v>35</v>
      </c>
      <c r="AE3" s="3" t="s">
        <v>36</v>
      </c>
      <c r="AF3" s="3" t="s">
        <v>34</v>
      </c>
      <c r="AG3" s="3" t="s">
        <v>37</v>
      </c>
      <c r="AH3" s="3" t="s">
        <v>38</v>
      </c>
      <c r="AI3" s="3" t="s">
        <v>39</v>
      </c>
    </row>
    <row r="4" spans="1:35" ht="15.75" customHeight="1" x14ac:dyDescent="0.25">
      <c r="A4" s="2">
        <v>45357.449567430551</v>
      </c>
      <c r="B4" s="3">
        <v>8</v>
      </c>
      <c r="C4" s="3" t="s">
        <v>40</v>
      </c>
      <c r="D4" s="3">
        <v>6</v>
      </c>
      <c r="E4" s="3" t="s">
        <v>41</v>
      </c>
      <c r="F4" s="3">
        <v>10</v>
      </c>
      <c r="G4" s="3" t="s">
        <v>42</v>
      </c>
      <c r="H4" s="3">
        <v>6</v>
      </c>
      <c r="I4" s="3" t="s">
        <v>41</v>
      </c>
      <c r="J4" s="3">
        <v>10</v>
      </c>
      <c r="K4" s="3" t="s">
        <v>43</v>
      </c>
      <c r="L4" s="3">
        <v>9</v>
      </c>
      <c r="M4" s="3" t="s">
        <v>41</v>
      </c>
      <c r="N4" s="3">
        <v>7</v>
      </c>
      <c r="O4" s="3" t="s">
        <v>44</v>
      </c>
      <c r="P4" s="3">
        <v>7</v>
      </c>
      <c r="Q4" s="3" t="s">
        <v>41</v>
      </c>
      <c r="R4" s="3">
        <v>10</v>
      </c>
      <c r="S4" s="3">
        <v>10</v>
      </c>
      <c r="T4" s="3" t="s">
        <v>45</v>
      </c>
      <c r="U4" s="3">
        <v>10</v>
      </c>
      <c r="V4" s="3" t="s">
        <v>46</v>
      </c>
      <c r="W4" s="3">
        <v>8</v>
      </c>
      <c r="X4" s="3" t="s">
        <v>47</v>
      </c>
      <c r="Y4" s="3" t="s">
        <v>48</v>
      </c>
      <c r="Z4" s="3" t="s">
        <v>49</v>
      </c>
      <c r="AA4" s="3" t="s">
        <v>50</v>
      </c>
      <c r="AB4" s="3" t="s">
        <v>35</v>
      </c>
      <c r="AC4" s="3" t="s">
        <v>51</v>
      </c>
      <c r="AD4" s="3" t="s">
        <v>52</v>
      </c>
      <c r="AE4" s="3" t="s">
        <v>53</v>
      </c>
      <c r="AF4" s="3" t="s">
        <v>35</v>
      </c>
      <c r="AG4" s="3" t="s">
        <v>54</v>
      </c>
      <c r="AH4" s="3" t="s">
        <v>55</v>
      </c>
      <c r="AI4" s="3" t="s">
        <v>35</v>
      </c>
    </row>
    <row r="5" spans="1:35" ht="15.75" customHeight="1" x14ac:dyDescent="0.25">
      <c r="A5" s="2">
        <v>45357.476789895838</v>
      </c>
      <c r="B5" s="3">
        <v>3</v>
      </c>
      <c r="D5" s="3">
        <v>4</v>
      </c>
      <c r="F5" s="3">
        <v>8</v>
      </c>
      <c r="H5" s="3">
        <v>6</v>
      </c>
      <c r="J5" s="3">
        <v>9</v>
      </c>
      <c r="L5" s="3">
        <v>4</v>
      </c>
      <c r="N5" s="3">
        <v>3</v>
      </c>
      <c r="P5" s="3">
        <v>4</v>
      </c>
      <c r="R5" s="3">
        <v>7</v>
      </c>
      <c r="S5" s="3">
        <v>6</v>
      </c>
      <c r="U5" s="3">
        <v>10</v>
      </c>
      <c r="V5" s="3" t="s">
        <v>56</v>
      </c>
      <c r="W5" s="3">
        <v>4</v>
      </c>
      <c r="X5" s="3" t="s">
        <v>35</v>
      </c>
      <c r="Y5" s="3" t="s">
        <v>57</v>
      </c>
      <c r="Z5" s="3" t="s">
        <v>58</v>
      </c>
      <c r="AA5" s="3" t="s">
        <v>35</v>
      </c>
      <c r="AB5" s="3" t="s">
        <v>35</v>
      </c>
      <c r="AC5" s="3" t="s">
        <v>41</v>
      </c>
      <c r="AD5" s="3" t="s">
        <v>41</v>
      </c>
      <c r="AE5" s="3" t="s">
        <v>41</v>
      </c>
      <c r="AF5" s="3" t="s">
        <v>57</v>
      </c>
      <c r="AG5" s="3" t="s">
        <v>59</v>
      </c>
      <c r="AH5" s="3" t="s">
        <v>35</v>
      </c>
      <c r="AI5" s="3" t="s">
        <v>60</v>
      </c>
    </row>
    <row r="6" spans="1:35" ht="15.75" customHeight="1" x14ac:dyDescent="0.25">
      <c r="A6" s="2">
        <v>45357.583837847225</v>
      </c>
      <c r="B6" s="3">
        <v>9</v>
      </c>
      <c r="D6" s="3">
        <v>10</v>
      </c>
      <c r="E6" s="3" t="s">
        <v>61</v>
      </c>
      <c r="F6" s="3">
        <v>7</v>
      </c>
      <c r="G6" s="3" t="s">
        <v>61</v>
      </c>
      <c r="H6" s="3">
        <v>10</v>
      </c>
      <c r="I6" s="3" t="s">
        <v>61</v>
      </c>
      <c r="J6" s="3">
        <v>10</v>
      </c>
      <c r="K6" s="3" t="s">
        <v>61</v>
      </c>
      <c r="L6" s="3">
        <v>7</v>
      </c>
      <c r="M6" s="3" t="s">
        <v>62</v>
      </c>
      <c r="N6" s="3">
        <v>6</v>
      </c>
      <c r="O6" s="3" t="s">
        <v>63</v>
      </c>
      <c r="P6" s="3">
        <v>10</v>
      </c>
      <c r="Q6" s="3" t="s">
        <v>61</v>
      </c>
      <c r="R6" s="3">
        <v>10</v>
      </c>
      <c r="S6" s="3">
        <v>10</v>
      </c>
      <c r="T6" s="3" t="s">
        <v>64</v>
      </c>
      <c r="U6" s="3">
        <v>10</v>
      </c>
      <c r="V6" s="3" t="s">
        <v>65</v>
      </c>
      <c r="W6" s="3">
        <v>10</v>
      </c>
      <c r="X6" s="3" t="s">
        <v>34</v>
      </c>
      <c r="Y6" s="3" t="s">
        <v>35</v>
      </c>
      <c r="Z6" s="3" t="s">
        <v>41</v>
      </c>
      <c r="AA6" s="3" t="s">
        <v>35</v>
      </c>
      <c r="AB6" s="3" t="s">
        <v>35</v>
      </c>
      <c r="AC6" s="3" t="s">
        <v>66</v>
      </c>
      <c r="AD6" s="3" t="s">
        <v>35</v>
      </c>
      <c r="AE6" s="3" t="s">
        <v>67</v>
      </c>
      <c r="AF6" s="3" t="s">
        <v>35</v>
      </c>
      <c r="AG6" s="3" t="s">
        <v>68</v>
      </c>
      <c r="AH6" s="3" t="s">
        <v>35</v>
      </c>
      <c r="AI6" s="3" t="s">
        <v>69</v>
      </c>
    </row>
    <row r="7" spans="1:35" ht="15.75" customHeight="1" x14ac:dyDescent="0.25">
      <c r="A7" s="2">
        <v>45357.615013310184</v>
      </c>
      <c r="B7" s="3">
        <v>8</v>
      </c>
      <c r="D7" s="3">
        <v>7</v>
      </c>
      <c r="F7" s="3">
        <v>5</v>
      </c>
      <c r="G7" s="3" t="s">
        <v>70</v>
      </c>
      <c r="H7" s="3">
        <v>10</v>
      </c>
      <c r="J7" s="3">
        <v>10</v>
      </c>
      <c r="L7" s="3">
        <v>8</v>
      </c>
      <c r="N7" s="3">
        <v>10</v>
      </c>
      <c r="P7" s="3">
        <v>10</v>
      </c>
      <c r="R7" s="3">
        <v>10</v>
      </c>
      <c r="S7" s="3">
        <v>10</v>
      </c>
      <c r="T7" s="3" t="s">
        <v>71</v>
      </c>
      <c r="U7" s="3">
        <v>10</v>
      </c>
      <c r="V7" s="3" t="s">
        <v>72</v>
      </c>
      <c r="W7" s="3">
        <v>10</v>
      </c>
      <c r="X7" s="3" t="s">
        <v>35</v>
      </c>
      <c r="Y7" s="3" t="s">
        <v>73</v>
      </c>
      <c r="Z7" s="3" t="s">
        <v>41</v>
      </c>
      <c r="AA7" s="3" t="s">
        <v>35</v>
      </c>
      <c r="AB7" s="3" t="s">
        <v>35</v>
      </c>
      <c r="AC7" s="3" t="s">
        <v>74</v>
      </c>
      <c r="AD7" s="3" t="s">
        <v>75</v>
      </c>
      <c r="AE7" s="3" t="s">
        <v>34</v>
      </c>
      <c r="AF7" s="3" t="s">
        <v>35</v>
      </c>
      <c r="AG7" s="3" t="s">
        <v>76</v>
      </c>
      <c r="AH7" s="3" t="s">
        <v>77</v>
      </c>
      <c r="AI7" s="3" t="s">
        <v>35</v>
      </c>
    </row>
    <row r="8" spans="1:35" ht="15.75" customHeight="1" x14ac:dyDescent="0.25">
      <c r="A8" s="2">
        <v>45357.63362951389</v>
      </c>
      <c r="B8" s="3">
        <v>10</v>
      </c>
      <c r="C8" s="3" t="s">
        <v>41</v>
      </c>
      <c r="D8" s="3">
        <v>10</v>
      </c>
      <c r="E8" s="3" t="s">
        <v>41</v>
      </c>
      <c r="F8" s="3">
        <v>10</v>
      </c>
      <c r="G8" s="3" t="s">
        <v>41</v>
      </c>
      <c r="H8" s="3">
        <v>10</v>
      </c>
      <c r="I8" s="3" t="s">
        <v>41</v>
      </c>
      <c r="J8" s="3">
        <v>10</v>
      </c>
      <c r="K8" s="3" t="s">
        <v>41</v>
      </c>
      <c r="L8" s="3">
        <v>10</v>
      </c>
      <c r="M8" s="3" t="s">
        <v>41</v>
      </c>
      <c r="N8" s="3">
        <v>10</v>
      </c>
      <c r="O8" s="3" t="s">
        <v>41</v>
      </c>
      <c r="P8" s="3">
        <v>10</v>
      </c>
      <c r="Q8" s="3" t="s">
        <v>41</v>
      </c>
      <c r="R8" s="3">
        <v>10</v>
      </c>
      <c r="S8" s="3">
        <v>10</v>
      </c>
      <c r="T8" s="3" t="s">
        <v>41</v>
      </c>
      <c r="U8" s="3">
        <v>10</v>
      </c>
      <c r="V8" s="3" t="s">
        <v>41</v>
      </c>
      <c r="W8" s="3">
        <v>10</v>
      </c>
      <c r="X8" s="3" t="s">
        <v>78</v>
      </c>
      <c r="Y8" s="3" t="s">
        <v>79</v>
      </c>
      <c r="Z8" s="3" t="s">
        <v>80</v>
      </c>
      <c r="AA8" s="3" t="s">
        <v>35</v>
      </c>
      <c r="AB8" s="3" t="s">
        <v>81</v>
      </c>
      <c r="AC8" s="3" t="s">
        <v>34</v>
      </c>
      <c r="AD8" s="3" t="s">
        <v>82</v>
      </c>
      <c r="AE8" s="3" t="s">
        <v>34</v>
      </c>
      <c r="AF8" s="3" t="s">
        <v>83</v>
      </c>
      <c r="AG8" s="3" t="s">
        <v>84</v>
      </c>
      <c r="AH8" s="4" t="s">
        <v>85</v>
      </c>
      <c r="AI8" s="4" t="s">
        <v>86</v>
      </c>
    </row>
    <row r="9" spans="1:35" ht="15.75" customHeight="1" x14ac:dyDescent="0.25">
      <c r="A9" s="2">
        <v>45357.675118645835</v>
      </c>
      <c r="B9" s="3">
        <v>9</v>
      </c>
      <c r="C9" s="3" t="s">
        <v>87</v>
      </c>
      <c r="D9" s="3">
        <v>10</v>
      </c>
      <c r="F9" s="3">
        <v>10</v>
      </c>
      <c r="H9" s="3">
        <v>10</v>
      </c>
      <c r="J9" s="3">
        <v>10</v>
      </c>
      <c r="L9" s="3">
        <v>10</v>
      </c>
      <c r="N9" s="3">
        <v>10</v>
      </c>
      <c r="P9" s="3">
        <v>9</v>
      </c>
      <c r="Q9" s="3" t="s">
        <v>88</v>
      </c>
      <c r="R9" s="3">
        <v>10</v>
      </c>
      <c r="S9" s="3">
        <v>10</v>
      </c>
      <c r="U9" s="3">
        <v>10</v>
      </c>
      <c r="W9" s="3">
        <v>10</v>
      </c>
      <c r="X9" s="3" t="s">
        <v>89</v>
      </c>
      <c r="Y9" s="3" t="s">
        <v>90</v>
      </c>
      <c r="Z9" s="3" t="s">
        <v>91</v>
      </c>
      <c r="AA9" s="3" t="s">
        <v>92</v>
      </c>
      <c r="AB9" s="3" t="s">
        <v>93</v>
      </c>
      <c r="AC9" s="3" t="s">
        <v>94</v>
      </c>
      <c r="AD9" s="3" t="s">
        <v>95</v>
      </c>
      <c r="AE9" s="3" t="s">
        <v>96</v>
      </c>
      <c r="AF9" s="3" t="s">
        <v>97</v>
      </c>
      <c r="AG9" s="3" t="s">
        <v>98</v>
      </c>
      <c r="AH9" s="3" t="s">
        <v>99</v>
      </c>
      <c r="AI9" s="3" t="s">
        <v>100</v>
      </c>
    </row>
    <row r="10" spans="1:35" ht="15.75" customHeight="1" x14ac:dyDescent="0.25">
      <c r="A10" s="2">
        <v>45357.77325471065</v>
      </c>
      <c r="B10" s="3">
        <v>5</v>
      </c>
      <c r="D10" s="3">
        <v>10</v>
      </c>
      <c r="F10" s="3">
        <v>5</v>
      </c>
      <c r="H10" s="3">
        <v>8</v>
      </c>
      <c r="J10" s="3">
        <v>1</v>
      </c>
      <c r="L10" s="3">
        <v>1</v>
      </c>
      <c r="N10" s="3">
        <v>1</v>
      </c>
      <c r="P10" s="3">
        <v>1</v>
      </c>
      <c r="R10" s="3">
        <v>10</v>
      </c>
      <c r="S10" s="3">
        <v>10</v>
      </c>
      <c r="U10" s="3">
        <v>10</v>
      </c>
      <c r="W10" s="3">
        <v>10</v>
      </c>
      <c r="X10" s="3" t="s">
        <v>35</v>
      </c>
      <c r="Y10" s="3" t="s">
        <v>101</v>
      </c>
      <c r="Z10" s="3" t="s">
        <v>41</v>
      </c>
      <c r="AA10" s="3" t="s">
        <v>35</v>
      </c>
      <c r="AB10" s="3" t="s">
        <v>35</v>
      </c>
      <c r="AC10" s="3" t="s">
        <v>102</v>
      </c>
      <c r="AD10" s="3" t="s">
        <v>103</v>
      </c>
      <c r="AE10" s="3" t="s">
        <v>104</v>
      </c>
      <c r="AF10" s="3" t="s">
        <v>35</v>
      </c>
      <c r="AG10" s="3" t="s">
        <v>105</v>
      </c>
      <c r="AH10" s="3" t="s">
        <v>106</v>
      </c>
      <c r="AI10" s="3" t="s">
        <v>107</v>
      </c>
    </row>
    <row r="11" spans="1:35" ht="15.75" customHeight="1" x14ac:dyDescent="0.25">
      <c r="A11" s="2">
        <v>45357.889249722226</v>
      </c>
      <c r="B11" s="3">
        <v>6</v>
      </c>
      <c r="D11" s="3">
        <v>10</v>
      </c>
      <c r="E11" s="3" t="s">
        <v>108</v>
      </c>
      <c r="F11" s="3">
        <v>8</v>
      </c>
      <c r="H11" s="3">
        <v>8</v>
      </c>
      <c r="J11" s="3">
        <v>9</v>
      </c>
      <c r="L11" s="3">
        <v>9</v>
      </c>
      <c r="N11" s="3">
        <v>8</v>
      </c>
      <c r="P11" s="3">
        <v>8</v>
      </c>
      <c r="R11" s="3">
        <v>9</v>
      </c>
      <c r="S11" s="3">
        <v>10</v>
      </c>
      <c r="U11" s="3">
        <v>10</v>
      </c>
      <c r="W11" s="3">
        <v>10</v>
      </c>
      <c r="X11" s="3" t="s">
        <v>35</v>
      </c>
      <c r="Y11" s="3" t="s">
        <v>109</v>
      </c>
      <c r="Z11" s="3" t="s">
        <v>41</v>
      </c>
      <c r="AA11" s="3" t="s">
        <v>35</v>
      </c>
      <c r="AB11" s="3" t="s">
        <v>35</v>
      </c>
      <c r="AC11" s="3" t="s">
        <v>109</v>
      </c>
      <c r="AD11" s="3" t="s">
        <v>109</v>
      </c>
      <c r="AE11" s="3" t="s">
        <v>110</v>
      </c>
      <c r="AF11" s="3" t="s">
        <v>35</v>
      </c>
      <c r="AG11" s="3" t="s">
        <v>111</v>
      </c>
      <c r="AH11" s="3" t="s">
        <v>112</v>
      </c>
      <c r="AI11" s="3" t="s">
        <v>109</v>
      </c>
    </row>
    <row r="12" spans="1:35" ht="15.75" customHeight="1" x14ac:dyDescent="0.25">
      <c r="A12" s="2">
        <v>45358.462790914353</v>
      </c>
      <c r="B12" s="3">
        <v>10</v>
      </c>
      <c r="D12" s="3">
        <v>10</v>
      </c>
      <c r="F12" s="3">
        <v>7</v>
      </c>
      <c r="G12" s="3" t="s">
        <v>113</v>
      </c>
      <c r="H12" s="3">
        <v>8</v>
      </c>
      <c r="J12" s="3">
        <v>10</v>
      </c>
      <c r="L12" s="3">
        <v>10</v>
      </c>
      <c r="N12" s="3">
        <v>10</v>
      </c>
      <c r="P12" s="3">
        <v>10</v>
      </c>
      <c r="R12" s="3">
        <v>10</v>
      </c>
      <c r="S12" s="3">
        <v>10</v>
      </c>
      <c r="U12" s="3">
        <v>10</v>
      </c>
      <c r="W12" s="3">
        <v>10</v>
      </c>
      <c r="X12" s="3" t="s">
        <v>35</v>
      </c>
      <c r="Y12" s="3" t="s">
        <v>114</v>
      </c>
      <c r="Z12" s="3" t="s">
        <v>115</v>
      </c>
      <c r="AA12" s="3" t="s">
        <v>116</v>
      </c>
      <c r="AB12" s="3" t="s">
        <v>117</v>
      </c>
      <c r="AC12" s="3" t="s">
        <v>35</v>
      </c>
      <c r="AD12" s="3" t="s">
        <v>35</v>
      </c>
      <c r="AE12" s="3" t="s">
        <v>35</v>
      </c>
      <c r="AF12" s="3" t="s">
        <v>35</v>
      </c>
      <c r="AG12" s="3" t="s">
        <v>118</v>
      </c>
      <c r="AH12" s="3" t="s">
        <v>34</v>
      </c>
      <c r="AI12" s="3" t="s">
        <v>119</v>
      </c>
    </row>
    <row r="13" spans="1:35" ht="15.75" customHeight="1" x14ac:dyDescent="0.25">
      <c r="A13" s="2">
        <v>45358.535946273143</v>
      </c>
      <c r="B13" s="3">
        <v>5</v>
      </c>
      <c r="C13" s="3" t="s">
        <v>120</v>
      </c>
      <c r="D13" s="3">
        <v>10</v>
      </c>
      <c r="F13" s="3">
        <v>5</v>
      </c>
      <c r="G13" s="3" t="s">
        <v>121</v>
      </c>
      <c r="H13" s="3">
        <v>8</v>
      </c>
      <c r="J13" s="3">
        <v>8</v>
      </c>
      <c r="L13" s="3">
        <v>9</v>
      </c>
      <c r="N13" s="3">
        <v>9</v>
      </c>
      <c r="P13" s="3">
        <v>9</v>
      </c>
      <c r="R13" s="3">
        <v>8</v>
      </c>
      <c r="S13" s="3">
        <v>8</v>
      </c>
      <c r="U13" s="3">
        <v>10</v>
      </c>
      <c r="W13" s="3">
        <v>10</v>
      </c>
      <c r="X13" s="3" t="s">
        <v>35</v>
      </c>
      <c r="Y13" s="3" t="s">
        <v>122</v>
      </c>
      <c r="Z13" s="3" t="s">
        <v>123</v>
      </c>
      <c r="AA13" s="3" t="s">
        <v>34</v>
      </c>
      <c r="AB13" s="3" t="s">
        <v>124</v>
      </c>
      <c r="AC13" s="3" t="s">
        <v>35</v>
      </c>
      <c r="AD13" s="3" t="s">
        <v>125</v>
      </c>
      <c r="AE13" s="3" t="s">
        <v>126</v>
      </c>
      <c r="AF13" s="3" t="s">
        <v>35</v>
      </c>
      <c r="AG13" s="3" t="s">
        <v>127</v>
      </c>
      <c r="AH13" s="3" t="s">
        <v>128</v>
      </c>
      <c r="AI13" s="3" t="s">
        <v>129</v>
      </c>
    </row>
    <row r="14" spans="1:35" ht="15.75" customHeight="1" x14ac:dyDescent="0.25">
      <c r="A14" s="2">
        <v>45358.558370231476</v>
      </c>
      <c r="B14" s="3">
        <v>10</v>
      </c>
      <c r="D14" s="3">
        <v>10</v>
      </c>
      <c r="F14" s="3">
        <v>8</v>
      </c>
      <c r="G14" s="3" t="s">
        <v>130</v>
      </c>
      <c r="H14" s="3">
        <v>10</v>
      </c>
      <c r="J14" s="3">
        <v>10</v>
      </c>
      <c r="L14" s="3">
        <v>8</v>
      </c>
      <c r="N14" s="3">
        <v>8</v>
      </c>
      <c r="P14" s="3">
        <v>10</v>
      </c>
      <c r="R14" s="3">
        <v>10</v>
      </c>
      <c r="S14" s="3">
        <v>10</v>
      </c>
      <c r="U14" s="3">
        <v>10</v>
      </c>
      <c r="W14" s="3">
        <v>10</v>
      </c>
      <c r="X14" s="3" t="s">
        <v>35</v>
      </c>
      <c r="Y14" s="3" t="s">
        <v>35</v>
      </c>
      <c r="Z14" s="3" t="s">
        <v>41</v>
      </c>
      <c r="AA14" s="3" t="s">
        <v>35</v>
      </c>
      <c r="AB14" s="3" t="s">
        <v>35</v>
      </c>
      <c r="AC14" s="3" t="s">
        <v>131</v>
      </c>
      <c r="AD14" s="3" t="s">
        <v>35</v>
      </c>
      <c r="AE14" s="3" t="s">
        <v>35</v>
      </c>
      <c r="AF14" s="3" t="s">
        <v>35</v>
      </c>
      <c r="AG14" s="3" t="s">
        <v>132</v>
      </c>
      <c r="AH14" s="3" t="s">
        <v>133</v>
      </c>
      <c r="AI14" s="3" t="s">
        <v>35</v>
      </c>
    </row>
    <row r="15" spans="1:35" ht="15.75" customHeight="1" x14ac:dyDescent="0.25">
      <c r="A15" s="2">
        <v>45358.598629988424</v>
      </c>
      <c r="B15" s="3">
        <v>8</v>
      </c>
      <c r="D15" s="3">
        <v>10</v>
      </c>
      <c r="F15" s="3">
        <v>8</v>
      </c>
      <c r="H15" s="3">
        <v>10</v>
      </c>
      <c r="J15" s="3">
        <v>10</v>
      </c>
      <c r="L15" s="3">
        <v>10</v>
      </c>
      <c r="N15" s="3">
        <v>10</v>
      </c>
      <c r="P15" s="3">
        <v>10</v>
      </c>
      <c r="R15" s="3">
        <v>10</v>
      </c>
      <c r="S15" s="3">
        <v>10</v>
      </c>
      <c r="U15" s="3">
        <v>10</v>
      </c>
      <c r="W15" s="3">
        <v>10</v>
      </c>
      <c r="X15" s="3" t="s">
        <v>134</v>
      </c>
      <c r="Y15" s="3" t="s">
        <v>35</v>
      </c>
      <c r="Z15" s="3" t="s">
        <v>41</v>
      </c>
      <c r="AA15" s="3" t="s">
        <v>35</v>
      </c>
      <c r="AB15" s="3" t="s">
        <v>35</v>
      </c>
      <c r="AC15" s="3" t="s">
        <v>35</v>
      </c>
      <c r="AD15" s="3" t="s">
        <v>35</v>
      </c>
      <c r="AE15" s="3" t="s">
        <v>35</v>
      </c>
      <c r="AF15" s="3" t="s">
        <v>35</v>
      </c>
      <c r="AG15" s="3" t="s">
        <v>135</v>
      </c>
      <c r="AH15" s="3" t="s">
        <v>34</v>
      </c>
      <c r="AI15" s="3" t="s">
        <v>136</v>
      </c>
    </row>
    <row r="16" spans="1:35" ht="15.75" customHeight="1" x14ac:dyDescent="0.25">
      <c r="A16" s="2">
        <v>45358.697732395834</v>
      </c>
      <c r="B16" s="3">
        <v>10</v>
      </c>
      <c r="D16" s="3">
        <v>9</v>
      </c>
      <c r="F16" s="3">
        <v>10</v>
      </c>
      <c r="G16" s="3" t="s">
        <v>137</v>
      </c>
      <c r="H16" s="3">
        <v>9</v>
      </c>
      <c r="J16" s="3">
        <v>10</v>
      </c>
      <c r="L16" s="3">
        <v>7</v>
      </c>
      <c r="M16" s="3" t="s">
        <v>138</v>
      </c>
      <c r="N16" s="3">
        <v>10</v>
      </c>
      <c r="P16" s="3">
        <v>10</v>
      </c>
      <c r="R16" s="3">
        <v>10</v>
      </c>
      <c r="S16" s="3">
        <v>10</v>
      </c>
      <c r="T16" s="3" t="s">
        <v>139</v>
      </c>
      <c r="U16" s="3">
        <v>10</v>
      </c>
      <c r="W16" s="3">
        <v>10</v>
      </c>
      <c r="X16" s="3" t="s">
        <v>140</v>
      </c>
      <c r="Y16" s="3" t="s">
        <v>141</v>
      </c>
      <c r="Z16" s="3" t="s">
        <v>142</v>
      </c>
      <c r="AA16" s="3" t="s">
        <v>143</v>
      </c>
      <c r="AB16" s="3" t="s">
        <v>35</v>
      </c>
      <c r="AC16" s="3" t="s">
        <v>35</v>
      </c>
      <c r="AD16" s="3" t="s">
        <v>144</v>
      </c>
      <c r="AE16" s="3" t="s">
        <v>145</v>
      </c>
      <c r="AF16" s="3" t="s">
        <v>35</v>
      </c>
      <c r="AG16" s="3" t="s">
        <v>146</v>
      </c>
      <c r="AH16" s="3" t="s">
        <v>147</v>
      </c>
      <c r="AI16" s="3" t="s">
        <v>148</v>
      </c>
    </row>
    <row r="17" spans="1:35" ht="15.75" customHeight="1" x14ac:dyDescent="0.25">
      <c r="A17" s="2">
        <v>45358.721325659717</v>
      </c>
      <c r="B17" s="3">
        <v>7</v>
      </c>
      <c r="C17" s="3" t="s">
        <v>149</v>
      </c>
      <c r="D17" s="3">
        <v>6</v>
      </c>
      <c r="E17" s="3" t="s">
        <v>150</v>
      </c>
      <c r="F17" s="3">
        <v>2</v>
      </c>
      <c r="G17" s="3" t="s">
        <v>151</v>
      </c>
      <c r="H17" s="3">
        <v>5</v>
      </c>
      <c r="I17" s="3" t="s">
        <v>41</v>
      </c>
      <c r="J17" s="3">
        <v>6</v>
      </c>
      <c r="L17" s="3">
        <v>8</v>
      </c>
      <c r="M17" s="3" t="s">
        <v>152</v>
      </c>
      <c r="N17" s="3">
        <v>5</v>
      </c>
      <c r="O17" s="3" t="s">
        <v>153</v>
      </c>
      <c r="P17" s="3">
        <v>7</v>
      </c>
      <c r="R17" s="3">
        <v>1</v>
      </c>
      <c r="S17" s="3">
        <v>8</v>
      </c>
      <c r="U17" s="3">
        <v>7</v>
      </c>
      <c r="W17" s="3">
        <v>10</v>
      </c>
      <c r="X17" s="3" t="s">
        <v>154</v>
      </c>
      <c r="Y17" s="3" t="s">
        <v>155</v>
      </c>
      <c r="Z17" s="3" t="s">
        <v>41</v>
      </c>
      <c r="AA17" s="3" t="s">
        <v>35</v>
      </c>
      <c r="AB17" s="3" t="s">
        <v>156</v>
      </c>
      <c r="AC17" s="3" t="s">
        <v>41</v>
      </c>
      <c r="AD17" s="3" t="s">
        <v>157</v>
      </c>
      <c r="AE17" s="3" t="s">
        <v>158</v>
      </c>
      <c r="AF17" s="3" t="s">
        <v>35</v>
      </c>
      <c r="AG17" s="3" t="s">
        <v>159</v>
      </c>
      <c r="AH17" s="3" t="s">
        <v>35</v>
      </c>
      <c r="AI17" s="3" t="s">
        <v>35</v>
      </c>
    </row>
    <row r="18" spans="1:35" ht="15.75" customHeight="1" x14ac:dyDescent="0.25">
      <c r="A18" s="2">
        <v>45358.767887245369</v>
      </c>
      <c r="B18" s="3">
        <v>10</v>
      </c>
      <c r="D18" s="3">
        <v>10</v>
      </c>
      <c r="F18" s="3">
        <v>10</v>
      </c>
      <c r="H18" s="3">
        <v>10</v>
      </c>
      <c r="J18" s="3">
        <v>10</v>
      </c>
      <c r="L18" s="3">
        <v>10</v>
      </c>
      <c r="N18" s="3">
        <v>10</v>
      </c>
      <c r="P18" s="3">
        <v>10</v>
      </c>
      <c r="R18" s="3">
        <v>10</v>
      </c>
      <c r="S18" s="3">
        <v>10</v>
      </c>
      <c r="T18" s="3" t="s">
        <v>160</v>
      </c>
      <c r="U18" s="3">
        <v>10</v>
      </c>
      <c r="V18" s="3" t="s">
        <v>161</v>
      </c>
      <c r="W18" s="3">
        <v>10</v>
      </c>
      <c r="X18" s="3" t="s">
        <v>35</v>
      </c>
      <c r="Y18" s="3" t="s">
        <v>35</v>
      </c>
      <c r="Z18" s="3" t="s">
        <v>162</v>
      </c>
      <c r="AA18" s="3" t="s">
        <v>163</v>
      </c>
      <c r="AB18" s="3" t="s">
        <v>155</v>
      </c>
      <c r="AC18" s="3" t="s">
        <v>164</v>
      </c>
      <c r="AD18" s="3" t="s">
        <v>129</v>
      </c>
      <c r="AE18" s="3" t="s">
        <v>165</v>
      </c>
      <c r="AF18" s="3" t="s">
        <v>166</v>
      </c>
      <c r="AG18" s="3" t="s">
        <v>167</v>
      </c>
      <c r="AH18" s="3" t="s">
        <v>168</v>
      </c>
      <c r="AI18" s="3" t="s">
        <v>169</v>
      </c>
    </row>
    <row r="19" spans="1:35" ht="15.75" customHeight="1" x14ac:dyDescent="0.25">
      <c r="A19" s="2">
        <v>45363.970975543984</v>
      </c>
      <c r="B19" s="3">
        <v>10</v>
      </c>
      <c r="D19" s="3">
        <v>10</v>
      </c>
      <c r="F19" s="3">
        <v>10</v>
      </c>
      <c r="H19" s="3">
        <v>10</v>
      </c>
      <c r="J19" s="3">
        <v>10</v>
      </c>
      <c r="L19" s="3">
        <v>10</v>
      </c>
      <c r="N19" s="3">
        <v>10</v>
      </c>
      <c r="P19" s="3">
        <v>10</v>
      </c>
      <c r="R19" s="3">
        <v>10</v>
      </c>
      <c r="S19" s="3">
        <v>10</v>
      </c>
      <c r="U19" s="3">
        <v>10</v>
      </c>
      <c r="W19" s="3">
        <v>10</v>
      </c>
      <c r="X19" s="3" t="s">
        <v>170</v>
      </c>
      <c r="Y19" s="3" t="s">
        <v>170</v>
      </c>
      <c r="Z19" s="3" t="s">
        <v>26</v>
      </c>
      <c r="AA19" s="3" t="s">
        <v>26</v>
      </c>
      <c r="AB19" s="3" t="s">
        <v>26</v>
      </c>
      <c r="AC19" s="3" t="s">
        <v>26</v>
      </c>
      <c r="AD19" s="3" t="s">
        <v>26</v>
      </c>
      <c r="AE19" s="3" t="s">
        <v>26</v>
      </c>
      <c r="AF19" s="3" t="s">
        <v>26</v>
      </c>
      <c r="AG19" s="3" t="s">
        <v>26</v>
      </c>
      <c r="AH19" s="3" t="s">
        <v>26</v>
      </c>
      <c r="AI19" s="3" t="s">
        <v>26</v>
      </c>
    </row>
    <row r="20" spans="1:35" ht="15.75" customHeight="1" x14ac:dyDescent="0.25">
      <c r="A20" s="2">
        <v>45363.971617303236</v>
      </c>
      <c r="B20" s="3">
        <v>10</v>
      </c>
      <c r="D20" s="3">
        <v>10</v>
      </c>
      <c r="F20" s="3">
        <v>10</v>
      </c>
      <c r="H20" s="3">
        <v>10</v>
      </c>
      <c r="J20" s="3">
        <v>10</v>
      </c>
      <c r="L20" s="3">
        <v>10</v>
      </c>
      <c r="N20" s="3">
        <v>10</v>
      </c>
      <c r="P20" s="3">
        <v>10</v>
      </c>
      <c r="R20" s="3">
        <v>10</v>
      </c>
      <c r="S20" s="3">
        <v>10</v>
      </c>
      <c r="U20" s="3">
        <v>10</v>
      </c>
      <c r="W20" s="3">
        <v>10</v>
      </c>
      <c r="X20" s="3" t="s">
        <v>26</v>
      </c>
      <c r="Y20" s="3" t="s">
        <v>26</v>
      </c>
      <c r="Z20" s="3" t="s">
        <v>26</v>
      </c>
      <c r="AA20" s="3" t="s">
        <v>26</v>
      </c>
      <c r="AB20" s="3" t="s">
        <v>26</v>
      </c>
      <c r="AC20" s="3" t="s">
        <v>26</v>
      </c>
      <c r="AD20" s="3" t="s">
        <v>26</v>
      </c>
      <c r="AE20" s="3" t="s">
        <v>26</v>
      </c>
      <c r="AF20" s="3" t="s">
        <v>26</v>
      </c>
      <c r="AG20" s="3" t="s">
        <v>26</v>
      </c>
      <c r="AH20" s="3" t="s">
        <v>26</v>
      </c>
      <c r="AI20" s="3" t="s">
        <v>26</v>
      </c>
    </row>
    <row r="21" spans="1:35" ht="15.75" customHeight="1" x14ac:dyDescent="0.25">
      <c r="A21" s="2">
        <v>45363.972366689813</v>
      </c>
      <c r="B21" s="3">
        <v>10</v>
      </c>
      <c r="D21" s="3">
        <v>10</v>
      </c>
      <c r="F21" s="3">
        <v>10</v>
      </c>
      <c r="H21" s="3">
        <v>10</v>
      </c>
      <c r="J21" s="3">
        <v>10</v>
      </c>
      <c r="L21" s="3">
        <v>10</v>
      </c>
      <c r="N21" s="3">
        <v>10</v>
      </c>
      <c r="P21" s="3">
        <v>10</v>
      </c>
      <c r="R21" s="3">
        <v>10</v>
      </c>
      <c r="S21" s="3">
        <v>10</v>
      </c>
      <c r="U21" s="3">
        <v>10</v>
      </c>
      <c r="W21" s="3">
        <v>10</v>
      </c>
      <c r="X21" s="3" t="s">
        <v>26</v>
      </c>
      <c r="Y21" s="3" t="s">
        <v>26</v>
      </c>
      <c r="Z21" s="3" t="s">
        <v>26</v>
      </c>
      <c r="AA21" s="3" t="s">
        <v>26</v>
      </c>
      <c r="AB21" s="3" t="s">
        <v>26</v>
      </c>
      <c r="AC21" s="3" t="s">
        <v>26</v>
      </c>
      <c r="AD21" s="3" t="s">
        <v>26</v>
      </c>
      <c r="AE21" s="3" t="s">
        <v>26</v>
      </c>
      <c r="AF21" s="3" t="s">
        <v>26</v>
      </c>
      <c r="AG21" s="3" t="s">
        <v>26</v>
      </c>
      <c r="AH21" s="3" t="s">
        <v>26</v>
      </c>
      <c r="AI21" s="3" t="s">
        <v>26</v>
      </c>
    </row>
    <row r="22" spans="1:35" ht="15.75" customHeight="1" x14ac:dyDescent="0.25">
      <c r="A22" s="2">
        <v>45363.973400659721</v>
      </c>
      <c r="B22" s="3">
        <v>10</v>
      </c>
      <c r="D22" s="3">
        <v>10</v>
      </c>
      <c r="F22" s="3">
        <v>10</v>
      </c>
      <c r="H22" s="3">
        <v>10</v>
      </c>
      <c r="J22" s="3">
        <v>10</v>
      </c>
      <c r="L22" s="3">
        <v>10</v>
      </c>
      <c r="N22" s="3">
        <v>10</v>
      </c>
      <c r="P22" s="3">
        <v>10</v>
      </c>
      <c r="R22" s="3">
        <v>10</v>
      </c>
      <c r="S22" s="3">
        <v>10</v>
      </c>
      <c r="U22" s="3">
        <v>10</v>
      </c>
      <c r="W22" s="3">
        <v>10</v>
      </c>
      <c r="X22" s="3" t="s">
        <v>26</v>
      </c>
      <c r="Y22" s="3" t="s">
        <v>26</v>
      </c>
      <c r="Z22" s="3" t="s">
        <v>26</v>
      </c>
      <c r="AA22" s="3" t="s">
        <v>26</v>
      </c>
      <c r="AB22" s="3" t="s">
        <v>26</v>
      </c>
      <c r="AC22" s="3" t="s">
        <v>26</v>
      </c>
      <c r="AD22" s="3" t="s">
        <v>26</v>
      </c>
      <c r="AE22" s="3" t="s">
        <v>26</v>
      </c>
      <c r="AF22" s="3" t="s">
        <v>26</v>
      </c>
      <c r="AG22" s="3" t="s">
        <v>26</v>
      </c>
      <c r="AH22" s="3" t="s">
        <v>26</v>
      </c>
      <c r="AI22" s="3" t="s">
        <v>26</v>
      </c>
    </row>
    <row r="23" spans="1:35" ht="15.75" customHeight="1" x14ac:dyDescent="0.25">
      <c r="A23" s="2">
        <v>45363.974083136578</v>
      </c>
      <c r="B23" s="3">
        <v>10</v>
      </c>
      <c r="D23" s="3">
        <v>10</v>
      </c>
      <c r="F23" s="3">
        <v>10</v>
      </c>
      <c r="H23" s="3">
        <v>10</v>
      </c>
      <c r="J23" s="3">
        <v>10</v>
      </c>
      <c r="L23" s="3">
        <v>10</v>
      </c>
      <c r="N23" s="3">
        <v>10</v>
      </c>
      <c r="P23" s="3">
        <v>10</v>
      </c>
      <c r="R23" s="3">
        <v>10</v>
      </c>
      <c r="S23" s="3">
        <v>10</v>
      </c>
      <c r="U23" s="3">
        <v>10</v>
      </c>
      <c r="W23" s="3">
        <v>10</v>
      </c>
      <c r="X23" s="3" t="s">
        <v>26</v>
      </c>
      <c r="Y23" s="3" t="s">
        <v>26</v>
      </c>
      <c r="Z23" s="3" t="s">
        <v>26</v>
      </c>
      <c r="AA23" s="3" t="s">
        <v>26</v>
      </c>
      <c r="AB23" s="3" t="s">
        <v>26</v>
      </c>
      <c r="AC23" s="3" t="s">
        <v>26</v>
      </c>
      <c r="AD23" s="3" t="s">
        <v>26</v>
      </c>
      <c r="AE23" s="3" t="s">
        <v>26</v>
      </c>
      <c r="AF23" s="3" t="s">
        <v>26</v>
      </c>
      <c r="AG23" s="3" t="s">
        <v>26</v>
      </c>
      <c r="AH23" s="3" t="s">
        <v>26</v>
      </c>
      <c r="AI23" s="3" t="s">
        <v>26</v>
      </c>
    </row>
    <row r="24" spans="1:35" ht="12.5" x14ac:dyDescent="0.25">
      <c r="A24" s="2">
        <v>45363.974777106487</v>
      </c>
      <c r="B24" s="3">
        <v>10</v>
      </c>
      <c r="D24" s="3">
        <v>10</v>
      </c>
      <c r="F24" s="3">
        <v>10</v>
      </c>
      <c r="H24" s="3">
        <v>10</v>
      </c>
      <c r="J24" s="3">
        <v>10</v>
      </c>
      <c r="L24" s="3">
        <v>10</v>
      </c>
      <c r="N24" s="3">
        <v>10</v>
      </c>
      <c r="P24" s="3">
        <v>10</v>
      </c>
      <c r="R24" s="3">
        <v>10</v>
      </c>
      <c r="S24" s="3">
        <v>10</v>
      </c>
      <c r="U24" s="3">
        <v>10</v>
      </c>
      <c r="W24" s="3">
        <v>10</v>
      </c>
      <c r="X24" s="3" t="s">
        <v>26</v>
      </c>
      <c r="Y24" s="3" t="s">
        <v>26</v>
      </c>
      <c r="Z24" s="3" t="s">
        <v>26</v>
      </c>
      <c r="AA24" s="3" t="s">
        <v>26</v>
      </c>
      <c r="AB24" s="3" t="s">
        <v>26</v>
      </c>
      <c r="AC24" s="3" t="s">
        <v>26</v>
      </c>
      <c r="AD24" s="3" t="s">
        <v>26</v>
      </c>
      <c r="AE24" s="3" t="s">
        <v>26</v>
      </c>
      <c r="AF24" s="3" t="s">
        <v>26</v>
      </c>
      <c r="AG24" s="3" t="s">
        <v>26</v>
      </c>
      <c r="AH24" s="3" t="s">
        <v>26</v>
      </c>
      <c r="AI24" s="3"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4E2F-D44B-4340-A814-576458B0BAE2}">
  <dimension ref="A2:S40"/>
  <sheetViews>
    <sheetView workbookViewId="0">
      <selection activeCell="D25" sqref="D25"/>
    </sheetView>
  </sheetViews>
  <sheetFormatPr defaultRowHeight="12.5" x14ac:dyDescent="0.25"/>
  <cols>
    <col min="1" max="1" width="28.54296875" customWidth="1"/>
    <col min="2" max="2" width="69.7265625" customWidth="1"/>
  </cols>
  <sheetData>
    <row r="2" spans="1:19" x14ac:dyDescent="0.25">
      <c r="D2" t="s">
        <v>61</v>
      </c>
    </row>
    <row r="4" spans="1:19" x14ac:dyDescent="0.25">
      <c r="A4" s="4"/>
      <c r="B4" s="4"/>
      <c r="C4" s="4"/>
      <c r="E4" s="4"/>
      <c r="F4" s="4"/>
      <c r="G4" s="4"/>
      <c r="H4" s="9"/>
      <c r="I4" s="4"/>
      <c r="J4" s="4"/>
      <c r="K4" s="4"/>
      <c r="L4" s="4"/>
      <c r="M4" s="4"/>
      <c r="N4" s="4"/>
      <c r="O4" s="4"/>
      <c r="P4" s="4"/>
      <c r="Q4" s="4"/>
      <c r="R4" s="4"/>
      <c r="S4" s="9"/>
    </row>
    <row r="5" spans="1:19" ht="13" thickBot="1" x14ac:dyDescent="0.3">
      <c r="A5" s="4"/>
      <c r="B5" s="4"/>
      <c r="C5" s="4"/>
      <c r="E5" s="4"/>
      <c r="F5" s="4"/>
      <c r="G5" s="4"/>
      <c r="H5" s="9"/>
      <c r="I5" s="4"/>
      <c r="J5" s="4"/>
      <c r="K5" s="4"/>
      <c r="L5" s="4"/>
      <c r="M5" s="4"/>
      <c r="N5" s="4"/>
      <c r="O5" s="4"/>
      <c r="P5" s="4"/>
      <c r="Q5" s="4"/>
      <c r="R5" s="4"/>
      <c r="S5" s="9"/>
    </row>
    <row r="6" spans="1:19" ht="13.5" thickBot="1" x14ac:dyDescent="0.3">
      <c r="A6" s="45" t="s">
        <v>187</v>
      </c>
      <c r="B6" s="46" t="s">
        <v>214</v>
      </c>
      <c r="C6" s="4"/>
      <c r="E6" s="4"/>
      <c r="F6" s="4"/>
      <c r="G6" s="4"/>
      <c r="H6" s="9"/>
      <c r="I6" s="4"/>
      <c r="J6" s="4"/>
      <c r="K6" s="4"/>
      <c r="L6" s="4"/>
      <c r="M6" s="4"/>
      <c r="N6" s="4"/>
      <c r="O6" s="4"/>
      <c r="P6" s="4"/>
      <c r="Q6" s="4"/>
      <c r="R6" s="4"/>
      <c r="S6" s="9"/>
    </row>
    <row r="7" spans="1:19" ht="13.5" thickBot="1" x14ac:dyDescent="0.3">
      <c r="A7" s="61" t="s">
        <v>247</v>
      </c>
      <c r="B7" s="47" t="s">
        <v>215</v>
      </c>
      <c r="C7" s="4"/>
      <c r="E7" s="4"/>
      <c r="F7" s="4"/>
      <c r="G7" s="4"/>
      <c r="H7" s="9"/>
      <c r="I7" s="4"/>
      <c r="J7" s="4"/>
      <c r="K7" s="4"/>
      <c r="L7" s="4"/>
      <c r="M7" s="4"/>
      <c r="N7" s="4"/>
      <c r="O7" s="4"/>
      <c r="P7" s="4"/>
      <c r="Q7" s="4"/>
      <c r="R7" s="4"/>
      <c r="S7" s="9"/>
    </row>
    <row r="8" spans="1:19" ht="13.5" thickBot="1" x14ac:dyDescent="0.3">
      <c r="A8" s="62"/>
      <c r="B8" s="47" t="s">
        <v>216</v>
      </c>
      <c r="C8" s="4"/>
      <c r="E8" s="4"/>
      <c r="F8" s="4"/>
      <c r="G8" s="4"/>
      <c r="H8" s="9"/>
      <c r="I8" s="4"/>
      <c r="J8" s="4"/>
      <c r="K8" s="4"/>
      <c r="L8" s="4"/>
      <c r="M8" s="4"/>
      <c r="N8" s="4"/>
      <c r="O8" s="4"/>
      <c r="P8" s="4"/>
      <c r="Q8" s="4"/>
      <c r="R8" s="4"/>
      <c r="S8" s="9"/>
    </row>
    <row r="9" spans="1:19" ht="13.5" thickBot="1" x14ac:dyDescent="0.3">
      <c r="A9" s="62"/>
      <c r="B9" s="47" t="s">
        <v>220</v>
      </c>
      <c r="C9" s="4"/>
      <c r="E9" s="4"/>
      <c r="F9" s="4"/>
      <c r="G9" s="4"/>
      <c r="H9" s="9"/>
      <c r="I9" s="4"/>
      <c r="J9" s="4"/>
      <c r="K9" s="4"/>
      <c r="L9" s="4"/>
      <c r="M9" s="4"/>
      <c r="N9" s="4"/>
      <c r="O9" s="4"/>
      <c r="P9" s="4"/>
      <c r="Q9" s="4"/>
      <c r="R9" s="4"/>
      <c r="S9" s="9"/>
    </row>
    <row r="10" spans="1:19" ht="13.5" thickBot="1" x14ac:dyDescent="0.3">
      <c r="A10" s="63"/>
      <c r="B10" s="47" t="s">
        <v>218</v>
      </c>
      <c r="C10" s="4"/>
      <c r="E10" s="4"/>
      <c r="F10" s="4"/>
      <c r="G10" s="4"/>
      <c r="H10" s="9"/>
      <c r="I10" s="4"/>
      <c r="J10" s="4"/>
      <c r="K10" s="4"/>
      <c r="L10" s="4"/>
      <c r="M10" s="4"/>
      <c r="N10" s="4"/>
      <c r="O10" s="4"/>
      <c r="P10" s="4"/>
      <c r="Q10" s="4"/>
      <c r="R10" s="4"/>
      <c r="S10" s="9"/>
    </row>
    <row r="11" spans="1:19" ht="13.5" thickBot="1" x14ac:dyDescent="0.3">
      <c r="A11" s="48" t="s">
        <v>243</v>
      </c>
      <c r="B11" s="47" t="s">
        <v>217</v>
      </c>
    </row>
    <row r="12" spans="1:19" ht="13.5" thickBot="1" x14ac:dyDescent="0.3">
      <c r="A12" s="48" t="s">
        <v>248</v>
      </c>
      <c r="B12" s="47" t="s">
        <v>219</v>
      </c>
    </row>
    <row r="13" spans="1:19" ht="13.5" thickBot="1" x14ac:dyDescent="0.3">
      <c r="A13" s="48" t="s">
        <v>249</v>
      </c>
      <c r="B13" s="47" t="s">
        <v>221</v>
      </c>
    </row>
    <row r="14" spans="1:19" ht="13.5" thickBot="1" x14ac:dyDescent="0.3">
      <c r="A14" s="48" t="s">
        <v>193</v>
      </c>
      <c r="B14" s="47" t="s">
        <v>222</v>
      </c>
    </row>
    <row r="15" spans="1:19" ht="13.5" thickBot="1" x14ac:dyDescent="0.3">
      <c r="A15" s="48" t="s">
        <v>250</v>
      </c>
      <c r="B15" s="47" t="s">
        <v>223</v>
      </c>
    </row>
    <row r="16" spans="1:19" ht="13.5" thickBot="1" x14ac:dyDescent="0.3">
      <c r="A16" s="48" t="s">
        <v>188</v>
      </c>
      <c r="B16" s="47" t="s">
        <v>224</v>
      </c>
    </row>
    <row r="17" spans="1:4" ht="13.5" thickBot="1" x14ac:dyDescent="0.3">
      <c r="A17" s="48" t="s">
        <v>189</v>
      </c>
      <c r="B17" s="47" t="s">
        <v>225</v>
      </c>
    </row>
    <row r="18" spans="1:4" ht="13.5" thickBot="1" x14ac:dyDescent="0.3">
      <c r="A18" s="61" t="s">
        <v>190</v>
      </c>
      <c r="B18" s="47" t="s">
        <v>226</v>
      </c>
    </row>
    <row r="19" spans="1:4" ht="13.5" thickBot="1" x14ac:dyDescent="0.3">
      <c r="A19" s="63"/>
      <c r="B19" s="47" t="s">
        <v>227</v>
      </c>
    </row>
    <row r="20" spans="1:4" ht="13.5" thickBot="1" x14ac:dyDescent="0.3">
      <c r="A20" s="61" t="s">
        <v>191</v>
      </c>
      <c r="B20" s="47" t="s">
        <v>228</v>
      </c>
    </row>
    <row r="21" spans="1:4" ht="13.5" thickBot="1" x14ac:dyDescent="0.3">
      <c r="A21" s="63"/>
      <c r="B21" s="47" t="s">
        <v>229</v>
      </c>
    </row>
    <row r="22" spans="1:4" ht="13.5" thickBot="1" x14ac:dyDescent="0.3">
      <c r="A22" s="61" t="s">
        <v>251</v>
      </c>
      <c r="B22" s="47" t="s">
        <v>230</v>
      </c>
    </row>
    <row r="23" spans="1:4" ht="13.5" thickBot="1" x14ac:dyDescent="0.3">
      <c r="A23" s="63"/>
      <c r="B23" s="47" t="s">
        <v>231</v>
      </c>
    </row>
    <row r="24" spans="1:4" ht="13.5" thickBot="1" x14ac:dyDescent="0.3">
      <c r="A24" s="61" t="s">
        <v>192</v>
      </c>
      <c r="B24" s="47" t="s">
        <v>232</v>
      </c>
    </row>
    <row r="25" spans="1:4" ht="13.5" thickBot="1" x14ac:dyDescent="0.3">
      <c r="A25" s="63"/>
      <c r="B25" s="47" t="s">
        <v>233</v>
      </c>
    </row>
    <row r="26" spans="1:4" ht="13" thickBot="1" x14ac:dyDescent="0.3"/>
    <row r="27" spans="1:4" ht="14.5" thickBot="1" x14ac:dyDescent="0.3">
      <c r="A27" s="49" t="s">
        <v>187</v>
      </c>
      <c r="B27" s="50" t="s">
        <v>214</v>
      </c>
      <c r="C27" s="51" t="s">
        <v>174</v>
      </c>
      <c r="D27" s="51" t="s">
        <v>172</v>
      </c>
    </row>
    <row r="28" spans="1:4" ht="28.5" thickBot="1" x14ac:dyDescent="0.3">
      <c r="A28" s="52" t="s">
        <v>247</v>
      </c>
      <c r="B28" s="53" t="s">
        <v>252</v>
      </c>
      <c r="C28" s="12">
        <v>8.18</v>
      </c>
      <c r="D28" s="12">
        <v>1.32</v>
      </c>
    </row>
    <row r="29" spans="1:4" ht="14.5" thickBot="1" x14ac:dyDescent="0.3">
      <c r="A29" s="52" t="s">
        <v>243</v>
      </c>
      <c r="B29" s="53" t="s">
        <v>194</v>
      </c>
      <c r="C29" s="54">
        <v>9.2200000000000006</v>
      </c>
      <c r="D29" s="12">
        <v>2.06</v>
      </c>
    </row>
    <row r="30" spans="1:4" ht="14.5" thickBot="1" x14ac:dyDescent="0.3">
      <c r="A30" s="52" t="s">
        <v>248</v>
      </c>
      <c r="B30" s="53" t="s">
        <v>196</v>
      </c>
      <c r="C30" s="54">
        <v>8.5</v>
      </c>
      <c r="D30" s="12">
        <v>2.57</v>
      </c>
    </row>
    <row r="31" spans="1:4" ht="28.5" thickBot="1" x14ac:dyDescent="0.3">
      <c r="A31" s="52" t="s">
        <v>253</v>
      </c>
      <c r="B31" s="53" t="s">
        <v>180</v>
      </c>
      <c r="C31" s="54">
        <v>9</v>
      </c>
      <c r="D31" s="12">
        <v>1.57</v>
      </c>
    </row>
    <row r="32" spans="1:4" ht="14.5" thickBot="1" x14ac:dyDescent="0.3">
      <c r="A32" s="52" t="s">
        <v>193</v>
      </c>
      <c r="B32" s="53" t="s">
        <v>206</v>
      </c>
      <c r="C32" s="12">
        <v>7.45</v>
      </c>
      <c r="D32" s="12">
        <v>1.84</v>
      </c>
    </row>
    <row r="33" spans="1:4" ht="14.5" thickBot="1" x14ac:dyDescent="0.3">
      <c r="A33" s="52" t="s">
        <v>254</v>
      </c>
      <c r="B33" s="53" t="s">
        <v>195</v>
      </c>
      <c r="C33" s="12">
        <v>8.5399999999999991</v>
      </c>
      <c r="D33" s="12">
        <v>2.2599999999999998</v>
      </c>
    </row>
    <row r="34" spans="1:4" ht="14.5" thickBot="1" x14ac:dyDescent="0.3">
      <c r="A34" s="52" t="s">
        <v>188</v>
      </c>
      <c r="B34" s="53" t="s">
        <v>197</v>
      </c>
      <c r="C34" s="12">
        <v>8.7200000000000006</v>
      </c>
      <c r="D34" s="12">
        <v>2.33</v>
      </c>
    </row>
    <row r="35" spans="1:4" ht="14.5" thickBot="1" x14ac:dyDescent="0.3">
      <c r="A35" s="52" t="s">
        <v>189</v>
      </c>
      <c r="B35" s="53" t="s">
        <v>198</v>
      </c>
      <c r="C35" s="54">
        <v>9.31</v>
      </c>
      <c r="D35" s="12">
        <v>2</v>
      </c>
    </row>
    <row r="36" spans="1:4" ht="14.5" thickBot="1" x14ac:dyDescent="0.3">
      <c r="A36" s="52" t="s">
        <v>190</v>
      </c>
      <c r="B36" s="53" t="s">
        <v>255</v>
      </c>
      <c r="C36" s="12">
        <v>7.45</v>
      </c>
      <c r="D36" s="12">
        <v>1.81</v>
      </c>
    </row>
    <row r="37" spans="1:4" ht="14.5" thickBot="1" x14ac:dyDescent="0.3">
      <c r="A37" s="52" t="s">
        <v>191</v>
      </c>
      <c r="B37" s="55" t="s">
        <v>256</v>
      </c>
      <c r="C37" s="12">
        <v>7.9</v>
      </c>
      <c r="D37" s="12">
        <v>1.25</v>
      </c>
    </row>
    <row r="38" spans="1:4" ht="14.5" thickBot="1" x14ac:dyDescent="0.3">
      <c r="A38" s="52" t="s">
        <v>251</v>
      </c>
      <c r="B38" s="53" t="s">
        <v>257</v>
      </c>
      <c r="C38" s="54">
        <v>9.75</v>
      </c>
      <c r="D38" s="12">
        <v>0.71</v>
      </c>
    </row>
    <row r="39" spans="1:4" ht="14.5" thickBot="1" x14ac:dyDescent="0.3">
      <c r="A39" s="52" t="s">
        <v>192</v>
      </c>
      <c r="B39" s="53" t="s">
        <v>258</v>
      </c>
      <c r="C39" s="12">
        <v>8.09</v>
      </c>
      <c r="D39" s="12">
        <v>2.02</v>
      </c>
    </row>
    <row r="40" spans="1:4" ht="14.5" thickBot="1" x14ac:dyDescent="0.3">
      <c r="A40" s="56" t="s">
        <v>259</v>
      </c>
      <c r="B40" s="57"/>
      <c r="C40" s="58">
        <v>0.85660000000000003</v>
      </c>
      <c r="D40" s="59">
        <v>10.66</v>
      </c>
    </row>
  </sheetData>
  <mergeCells count="5">
    <mergeCell ref="A7:A10"/>
    <mergeCell ref="A18:A19"/>
    <mergeCell ref="A20:A21"/>
    <mergeCell ref="A22:A23"/>
    <mergeCell ref="A24:A25"/>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587E-FC68-41FD-9560-11C01D392E32}">
  <dimension ref="A1:Y58"/>
  <sheetViews>
    <sheetView workbookViewId="0">
      <selection activeCell="P50" sqref="P50"/>
    </sheetView>
  </sheetViews>
  <sheetFormatPr defaultRowHeight="12.5" x14ac:dyDescent="0.25"/>
  <cols>
    <col min="10" max="10" width="9.1796875" style="32"/>
    <col min="24" max="24" width="9.1796875" style="32"/>
  </cols>
  <sheetData>
    <row r="1" spans="1:25" x14ac:dyDescent="0.25">
      <c r="A1" s="36" t="s">
        <v>177</v>
      </c>
      <c r="B1" s="36" t="s">
        <v>178</v>
      </c>
      <c r="C1" s="36" t="s">
        <v>194</v>
      </c>
      <c r="D1" s="36" t="s">
        <v>204</v>
      </c>
      <c r="E1" s="22"/>
      <c r="F1" s="36" t="s">
        <v>196</v>
      </c>
      <c r="G1" s="36" t="s">
        <v>199</v>
      </c>
      <c r="H1" s="22"/>
      <c r="I1" t="s">
        <v>180</v>
      </c>
      <c r="J1" s="32" t="s">
        <v>206</v>
      </c>
      <c r="K1" t="s">
        <v>195</v>
      </c>
      <c r="L1" t="s">
        <v>197</v>
      </c>
      <c r="M1" t="s">
        <v>198</v>
      </c>
      <c r="N1" s="33" t="s">
        <v>203</v>
      </c>
      <c r="O1" s="33" t="s">
        <v>209</v>
      </c>
      <c r="P1" s="25"/>
      <c r="Q1" s="33" t="s">
        <v>179</v>
      </c>
      <c r="R1" s="33" t="s">
        <v>202</v>
      </c>
      <c r="S1" s="25"/>
      <c r="T1" s="33" t="s">
        <v>200</v>
      </c>
      <c r="U1" s="33" t="s">
        <v>201</v>
      </c>
      <c r="V1" s="25"/>
      <c r="W1" s="14" t="s">
        <v>212</v>
      </c>
      <c r="X1" s="29" t="s">
        <v>213</v>
      </c>
      <c r="Y1" s="22"/>
    </row>
    <row r="2" spans="1:25" x14ac:dyDescent="0.25">
      <c r="A2" s="37" t="s">
        <v>1</v>
      </c>
      <c r="B2" s="37" t="s">
        <v>3</v>
      </c>
      <c r="C2" s="37" t="s">
        <v>6</v>
      </c>
      <c r="D2" s="37" t="s">
        <v>16</v>
      </c>
      <c r="E2" s="23" t="s">
        <v>237</v>
      </c>
      <c r="F2" s="37" t="s">
        <v>183</v>
      </c>
      <c r="G2" s="37" t="s">
        <v>11</v>
      </c>
      <c r="H2" s="23" t="s">
        <v>238</v>
      </c>
      <c r="I2" s="1" t="s">
        <v>5</v>
      </c>
      <c r="J2" s="38" t="s">
        <v>18</v>
      </c>
      <c r="K2" s="1" t="s">
        <v>7</v>
      </c>
      <c r="L2" s="1" t="s">
        <v>9</v>
      </c>
      <c r="M2" s="1" t="s">
        <v>10</v>
      </c>
      <c r="N2" s="34" t="s">
        <v>15</v>
      </c>
      <c r="O2" s="34" t="s">
        <v>21</v>
      </c>
      <c r="P2" s="26" t="s">
        <v>239</v>
      </c>
      <c r="Q2" s="34" t="s">
        <v>4</v>
      </c>
      <c r="R2" s="34" t="s">
        <v>14</v>
      </c>
      <c r="S2" s="26" t="s">
        <v>240</v>
      </c>
      <c r="T2" s="39" t="s">
        <v>182</v>
      </c>
      <c r="U2" s="39" t="s">
        <v>181</v>
      </c>
      <c r="V2" s="27" t="s">
        <v>241</v>
      </c>
      <c r="W2" s="15" t="s">
        <v>24</v>
      </c>
      <c r="X2" s="30" t="s">
        <v>25</v>
      </c>
      <c r="Y2" s="28" t="s">
        <v>242</v>
      </c>
    </row>
    <row r="3" spans="1:25" x14ac:dyDescent="0.25">
      <c r="A3" s="35">
        <v>5</v>
      </c>
      <c r="B3" s="35">
        <v>7</v>
      </c>
      <c r="C3" s="35">
        <v>10</v>
      </c>
      <c r="D3" s="36">
        <v>10</v>
      </c>
      <c r="E3" s="22">
        <f>SUM(A3:D3)</f>
        <v>32</v>
      </c>
      <c r="F3" s="35">
        <v>10</v>
      </c>
      <c r="G3" s="35">
        <v>10</v>
      </c>
      <c r="H3" s="24">
        <f>SUM(F3:G3)</f>
        <v>20</v>
      </c>
      <c r="I3" s="4">
        <v>10</v>
      </c>
      <c r="J3" s="31">
        <v>7</v>
      </c>
      <c r="K3" s="4">
        <v>8</v>
      </c>
      <c r="L3" s="4">
        <v>7</v>
      </c>
      <c r="M3" s="4">
        <v>10</v>
      </c>
      <c r="N3" s="35">
        <v>8</v>
      </c>
      <c r="O3" s="35">
        <v>9</v>
      </c>
      <c r="P3" s="24">
        <f>SUM(N3:O3)</f>
        <v>17</v>
      </c>
      <c r="Q3" s="35">
        <v>7</v>
      </c>
      <c r="R3" s="35">
        <v>10</v>
      </c>
      <c r="S3" s="24">
        <f>SUM(Q3:R3)</f>
        <v>17</v>
      </c>
      <c r="T3" s="35">
        <v>10</v>
      </c>
      <c r="U3" s="35">
        <v>10</v>
      </c>
      <c r="V3" s="24">
        <f>SUM(T3:U3)</f>
        <v>20</v>
      </c>
      <c r="W3" s="4">
        <v>10</v>
      </c>
      <c r="X3" s="31">
        <v>10</v>
      </c>
      <c r="Y3" s="22">
        <f>SUM(W3:X3)</f>
        <v>20</v>
      </c>
    </row>
    <row r="4" spans="1:25" x14ac:dyDescent="0.25">
      <c r="A4" s="35">
        <v>8</v>
      </c>
      <c r="B4" s="35">
        <v>6</v>
      </c>
      <c r="C4" s="35">
        <v>10</v>
      </c>
      <c r="D4" s="36">
        <v>10</v>
      </c>
      <c r="E4" s="22">
        <f t="shared" ref="E4:E24" si="0">SUM(A4:D4)</f>
        <v>34</v>
      </c>
      <c r="F4" s="35">
        <v>7</v>
      </c>
      <c r="G4" s="35">
        <v>10</v>
      </c>
      <c r="H4" s="24">
        <f t="shared" ref="H4:H24" si="1">SUM(F4:G4)</f>
        <v>17</v>
      </c>
      <c r="I4" s="4">
        <v>6</v>
      </c>
      <c r="J4" s="31">
        <v>9</v>
      </c>
      <c r="K4" s="4">
        <v>9</v>
      </c>
      <c r="L4" s="4">
        <v>7</v>
      </c>
      <c r="M4" s="4">
        <v>10</v>
      </c>
      <c r="N4" s="35">
        <v>10</v>
      </c>
      <c r="O4" s="35">
        <v>7</v>
      </c>
      <c r="P4" s="24">
        <f t="shared" ref="P4:P24" si="2">SUM(N4:O4)</f>
        <v>17</v>
      </c>
      <c r="Q4" s="35">
        <v>10</v>
      </c>
      <c r="R4" s="35">
        <v>10</v>
      </c>
      <c r="S4" s="24">
        <f t="shared" ref="S4:S24" si="3">SUM(Q4:R4)</f>
        <v>20</v>
      </c>
      <c r="T4" s="35">
        <v>10</v>
      </c>
      <c r="U4" s="35">
        <v>8</v>
      </c>
      <c r="V4" s="24">
        <f t="shared" ref="V4:V24" si="4">SUM(T4:U4)</f>
        <v>18</v>
      </c>
      <c r="W4" s="4">
        <v>10</v>
      </c>
      <c r="X4" s="31">
        <v>8</v>
      </c>
      <c r="Y4" s="22">
        <f t="shared" ref="Y4:Y24" si="5">SUM(W4:X4)</f>
        <v>18</v>
      </c>
    </row>
    <row r="5" spans="1:25" x14ac:dyDescent="0.25">
      <c r="A5" s="35">
        <v>3</v>
      </c>
      <c r="B5" s="35">
        <v>4</v>
      </c>
      <c r="C5" s="35">
        <v>9</v>
      </c>
      <c r="D5" s="36">
        <v>2</v>
      </c>
      <c r="E5" s="22">
        <f t="shared" si="0"/>
        <v>18</v>
      </c>
      <c r="F5" s="35">
        <v>3</v>
      </c>
      <c r="G5" s="35">
        <v>6</v>
      </c>
      <c r="H5" s="24">
        <f t="shared" si="1"/>
        <v>9</v>
      </c>
      <c r="I5" s="4">
        <v>6</v>
      </c>
      <c r="J5" s="31">
        <v>9</v>
      </c>
      <c r="K5" s="4">
        <v>4</v>
      </c>
      <c r="L5" s="4">
        <v>4</v>
      </c>
      <c r="M5" s="4">
        <v>7</v>
      </c>
      <c r="N5" s="35">
        <v>7</v>
      </c>
      <c r="O5" s="35">
        <v>5</v>
      </c>
      <c r="P5" s="24">
        <f t="shared" si="2"/>
        <v>12</v>
      </c>
      <c r="Q5" s="35">
        <v>8</v>
      </c>
      <c r="R5" s="35">
        <v>9</v>
      </c>
      <c r="S5" s="24">
        <f t="shared" si="3"/>
        <v>17</v>
      </c>
      <c r="T5" s="35">
        <v>10</v>
      </c>
      <c r="U5" s="35">
        <v>4</v>
      </c>
      <c r="V5" s="24">
        <f t="shared" si="4"/>
        <v>14</v>
      </c>
      <c r="W5" s="4">
        <v>10</v>
      </c>
      <c r="X5" s="31">
        <v>8</v>
      </c>
      <c r="Y5" s="22">
        <f t="shared" si="5"/>
        <v>18</v>
      </c>
    </row>
    <row r="6" spans="1:25" x14ac:dyDescent="0.25">
      <c r="A6" s="35">
        <v>9</v>
      </c>
      <c r="B6" s="35">
        <v>10</v>
      </c>
      <c r="C6" s="35">
        <v>10</v>
      </c>
      <c r="D6" s="36">
        <v>10</v>
      </c>
      <c r="E6" s="22">
        <f t="shared" si="0"/>
        <v>39</v>
      </c>
      <c r="F6" s="35">
        <v>6</v>
      </c>
      <c r="G6" s="35">
        <v>10</v>
      </c>
      <c r="H6" s="24">
        <f t="shared" si="1"/>
        <v>16</v>
      </c>
      <c r="I6" s="4">
        <v>10</v>
      </c>
      <c r="J6" s="31">
        <v>9</v>
      </c>
      <c r="K6" s="4">
        <v>7</v>
      </c>
      <c r="L6" s="4">
        <v>10</v>
      </c>
      <c r="M6" s="4">
        <v>10</v>
      </c>
      <c r="N6" s="35">
        <v>8</v>
      </c>
      <c r="O6" s="35">
        <v>6</v>
      </c>
      <c r="P6" s="24">
        <f t="shared" si="2"/>
        <v>14</v>
      </c>
      <c r="Q6" s="35">
        <v>7</v>
      </c>
      <c r="R6" s="35">
        <v>9</v>
      </c>
      <c r="S6" s="24">
        <f t="shared" si="3"/>
        <v>16</v>
      </c>
      <c r="T6" s="35">
        <v>10</v>
      </c>
      <c r="U6" s="35">
        <v>10</v>
      </c>
      <c r="V6" s="24">
        <f t="shared" si="4"/>
        <v>20</v>
      </c>
      <c r="W6" s="4">
        <v>10</v>
      </c>
      <c r="X6" s="31">
        <v>10</v>
      </c>
      <c r="Y6" s="22">
        <f t="shared" si="5"/>
        <v>20</v>
      </c>
    </row>
    <row r="7" spans="1:25" x14ac:dyDescent="0.25">
      <c r="A7" s="35">
        <v>8</v>
      </c>
      <c r="B7" s="35">
        <v>7</v>
      </c>
      <c r="C7" s="35">
        <v>10</v>
      </c>
      <c r="D7" s="36">
        <v>10</v>
      </c>
      <c r="E7" s="22">
        <f t="shared" si="0"/>
        <v>35</v>
      </c>
      <c r="F7" s="35">
        <v>10</v>
      </c>
      <c r="G7" s="35">
        <v>10</v>
      </c>
      <c r="H7" s="24">
        <f t="shared" si="1"/>
        <v>20</v>
      </c>
      <c r="I7" s="4">
        <v>10</v>
      </c>
      <c r="J7" s="31">
        <v>9</v>
      </c>
      <c r="K7" s="4">
        <v>8</v>
      </c>
      <c r="L7" s="4">
        <v>10</v>
      </c>
      <c r="M7" s="4">
        <v>10</v>
      </c>
      <c r="N7" s="35">
        <v>7</v>
      </c>
      <c r="O7" s="35">
        <v>10</v>
      </c>
      <c r="P7" s="24">
        <f t="shared" si="2"/>
        <v>17</v>
      </c>
      <c r="Q7" s="35">
        <v>5</v>
      </c>
      <c r="R7" s="35">
        <v>9</v>
      </c>
      <c r="S7" s="24">
        <f t="shared" si="3"/>
        <v>14</v>
      </c>
      <c r="T7" s="35">
        <v>10</v>
      </c>
      <c r="U7" s="35">
        <v>10</v>
      </c>
      <c r="V7" s="24">
        <f t="shared" si="4"/>
        <v>20</v>
      </c>
      <c r="W7" s="4">
        <v>10</v>
      </c>
      <c r="X7" s="31">
        <v>8</v>
      </c>
      <c r="Y7" s="22">
        <f t="shared" si="5"/>
        <v>18</v>
      </c>
    </row>
    <row r="8" spans="1:25" x14ac:dyDescent="0.25">
      <c r="A8" s="35">
        <v>10</v>
      </c>
      <c r="B8" s="35">
        <v>10</v>
      </c>
      <c r="C8" s="35">
        <v>10</v>
      </c>
      <c r="D8" s="36">
        <v>10</v>
      </c>
      <c r="E8" s="22">
        <f t="shared" si="0"/>
        <v>40</v>
      </c>
      <c r="F8" s="35">
        <v>10</v>
      </c>
      <c r="G8" s="35">
        <v>10</v>
      </c>
      <c r="H8" s="24">
        <f t="shared" si="1"/>
        <v>20</v>
      </c>
      <c r="I8" s="4">
        <v>10</v>
      </c>
      <c r="J8" s="31">
        <v>8</v>
      </c>
      <c r="K8" s="4">
        <v>10</v>
      </c>
      <c r="L8" s="4">
        <v>10</v>
      </c>
      <c r="M8" s="4">
        <v>10</v>
      </c>
      <c r="N8" s="35">
        <v>9</v>
      </c>
      <c r="O8" s="35">
        <v>10</v>
      </c>
      <c r="P8" s="24">
        <f t="shared" si="2"/>
        <v>19</v>
      </c>
      <c r="Q8" s="35">
        <v>10</v>
      </c>
      <c r="R8" s="35">
        <v>10</v>
      </c>
      <c r="S8" s="24">
        <f t="shared" si="3"/>
        <v>20</v>
      </c>
      <c r="T8" s="35">
        <v>10</v>
      </c>
      <c r="U8" s="35">
        <v>10</v>
      </c>
      <c r="V8" s="24">
        <f t="shared" si="4"/>
        <v>20</v>
      </c>
      <c r="W8" s="4">
        <v>10</v>
      </c>
      <c r="X8" s="31">
        <v>6</v>
      </c>
      <c r="Y8" s="22">
        <f t="shared" si="5"/>
        <v>16</v>
      </c>
    </row>
    <row r="9" spans="1:25" x14ac:dyDescent="0.25">
      <c r="A9" s="35">
        <v>9</v>
      </c>
      <c r="B9" s="35">
        <v>10</v>
      </c>
      <c r="C9" s="35">
        <v>10</v>
      </c>
      <c r="D9" s="36">
        <v>10</v>
      </c>
      <c r="E9" s="22">
        <f t="shared" si="0"/>
        <v>39</v>
      </c>
      <c r="F9" s="35">
        <v>10</v>
      </c>
      <c r="G9" s="35">
        <v>10</v>
      </c>
      <c r="H9" s="24">
        <f t="shared" si="1"/>
        <v>20</v>
      </c>
      <c r="I9" s="4">
        <v>10</v>
      </c>
      <c r="J9" s="31">
        <v>7</v>
      </c>
      <c r="K9" s="4">
        <v>10</v>
      </c>
      <c r="L9" s="4">
        <v>9</v>
      </c>
      <c r="M9" s="4">
        <v>10</v>
      </c>
      <c r="N9" s="35">
        <v>9</v>
      </c>
      <c r="O9" s="35">
        <v>10</v>
      </c>
      <c r="P9" s="24">
        <f t="shared" si="2"/>
        <v>19</v>
      </c>
      <c r="Q9" s="35">
        <v>10</v>
      </c>
      <c r="R9" s="35">
        <v>8</v>
      </c>
      <c r="S9" s="24">
        <f t="shared" si="3"/>
        <v>18</v>
      </c>
      <c r="T9" s="35">
        <v>10</v>
      </c>
      <c r="U9" s="35">
        <v>10</v>
      </c>
      <c r="V9" s="24">
        <f t="shared" si="4"/>
        <v>20</v>
      </c>
      <c r="W9" s="4">
        <v>10</v>
      </c>
      <c r="X9" s="31">
        <v>10</v>
      </c>
      <c r="Y9" s="22">
        <f t="shared" si="5"/>
        <v>20</v>
      </c>
    </row>
    <row r="10" spans="1:25" x14ac:dyDescent="0.25">
      <c r="A10" s="35">
        <v>5</v>
      </c>
      <c r="B10" s="35">
        <v>10</v>
      </c>
      <c r="C10" s="35">
        <v>1</v>
      </c>
      <c r="D10" s="36">
        <v>10</v>
      </c>
      <c r="E10" s="22">
        <f t="shared" si="0"/>
        <v>26</v>
      </c>
      <c r="F10" s="35">
        <v>1</v>
      </c>
      <c r="G10" s="35">
        <v>10</v>
      </c>
      <c r="H10" s="24">
        <f t="shared" si="1"/>
        <v>11</v>
      </c>
      <c r="I10" s="4">
        <v>8</v>
      </c>
      <c r="J10" s="31">
        <v>9</v>
      </c>
      <c r="K10" s="4">
        <v>1</v>
      </c>
      <c r="L10" s="4">
        <v>1</v>
      </c>
      <c r="M10" s="4">
        <v>10</v>
      </c>
      <c r="N10" s="35">
        <v>8</v>
      </c>
      <c r="O10" s="35">
        <v>7</v>
      </c>
      <c r="P10" s="24">
        <f t="shared" si="2"/>
        <v>15</v>
      </c>
      <c r="Q10" s="35">
        <v>5</v>
      </c>
      <c r="R10" s="35">
        <v>9</v>
      </c>
      <c r="S10" s="24">
        <f t="shared" si="3"/>
        <v>14</v>
      </c>
      <c r="T10" s="35">
        <v>10</v>
      </c>
      <c r="U10" s="35">
        <v>10</v>
      </c>
      <c r="V10" s="24">
        <f t="shared" si="4"/>
        <v>20</v>
      </c>
      <c r="W10" s="4">
        <v>10</v>
      </c>
      <c r="X10" s="31">
        <v>8</v>
      </c>
      <c r="Y10" s="22">
        <f t="shared" si="5"/>
        <v>18</v>
      </c>
    </row>
    <row r="11" spans="1:25" x14ac:dyDescent="0.25">
      <c r="A11" s="35">
        <v>6</v>
      </c>
      <c r="B11" s="35">
        <v>10</v>
      </c>
      <c r="C11" s="35">
        <v>9</v>
      </c>
      <c r="D11" s="36">
        <v>10</v>
      </c>
      <c r="E11" s="22">
        <f t="shared" si="0"/>
        <v>35</v>
      </c>
      <c r="F11" s="35">
        <v>8</v>
      </c>
      <c r="G11" s="35">
        <v>10</v>
      </c>
      <c r="H11" s="24">
        <f t="shared" si="1"/>
        <v>18</v>
      </c>
      <c r="I11" s="4">
        <v>8</v>
      </c>
      <c r="J11" s="31">
        <v>9</v>
      </c>
      <c r="K11" s="4">
        <v>9</v>
      </c>
      <c r="L11" s="4">
        <v>8</v>
      </c>
      <c r="M11" s="4">
        <v>9</v>
      </c>
      <c r="N11" s="35">
        <v>9</v>
      </c>
      <c r="O11" s="35">
        <v>7</v>
      </c>
      <c r="P11" s="24">
        <f t="shared" si="2"/>
        <v>16</v>
      </c>
      <c r="Q11" s="35">
        <v>8</v>
      </c>
      <c r="R11" s="35">
        <v>9</v>
      </c>
      <c r="S11" s="24">
        <f t="shared" si="3"/>
        <v>17</v>
      </c>
      <c r="T11" s="35">
        <v>10</v>
      </c>
      <c r="U11" s="35">
        <v>10</v>
      </c>
      <c r="V11" s="24">
        <f t="shared" si="4"/>
        <v>20</v>
      </c>
      <c r="W11" s="4">
        <v>10</v>
      </c>
      <c r="X11" s="31">
        <v>8</v>
      </c>
      <c r="Y11" s="22">
        <f t="shared" si="5"/>
        <v>18</v>
      </c>
    </row>
    <row r="12" spans="1:25" x14ac:dyDescent="0.25">
      <c r="A12" s="35">
        <v>10</v>
      </c>
      <c r="B12" s="35">
        <v>10</v>
      </c>
      <c r="C12" s="35">
        <v>10</v>
      </c>
      <c r="D12" s="36">
        <v>10</v>
      </c>
      <c r="E12" s="22">
        <f t="shared" si="0"/>
        <v>40</v>
      </c>
      <c r="F12" s="35">
        <v>10</v>
      </c>
      <c r="G12" s="35">
        <v>10</v>
      </c>
      <c r="H12" s="24">
        <f t="shared" si="1"/>
        <v>20</v>
      </c>
      <c r="I12" s="4">
        <v>8</v>
      </c>
      <c r="J12" s="31">
        <v>7</v>
      </c>
      <c r="K12" s="4">
        <v>10</v>
      </c>
      <c r="L12" s="4">
        <v>10</v>
      </c>
      <c r="M12" s="4">
        <v>10</v>
      </c>
      <c r="N12" s="35">
        <v>10</v>
      </c>
      <c r="O12" s="35">
        <v>10</v>
      </c>
      <c r="P12" s="24">
        <f t="shared" si="2"/>
        <v>20</v>
      </c>
      <c r="Q12" s="35">
        <v>7</v>
      </c>
      <c r="R12" s="35">
        <v>9</v>
      </c>
      <c r="S12" s="24">
        <f t="shared" si="3"/>
        <v>16</v>
      </c>
      <c r="T12" s="35">
        <v>10</v>
      </c>
      <c r="U12" s="35">
        <v>10</v>
      </c>
      <c r="V12" s="24">
        <f t="shared" si="4"/>
        <v>20</v>
      </c>
      <c r="W12" s="4">
        <v>10</v>
      </c>
      <c r="X12" s="31">
        <v>10</v>
      </c>
      <c r="Y12" s="22">
        <f t="shared" si="5"/>
        <v>20</v>
      </c>
    </row>
    <row r="13" spans="1:25" x14ac:dyDescent="0.25">
      <c r="A13" s="35">
        <v>5</v>
      </c>
      <c r="B13" s="35">
        <v>10</v>
      </c>
      <c r="C13" s="35">
        <v>8</v>
      </c>
      <c r="D13" s="36">
        <v>10</v>
      </c>
      <c r="E13" s="22">
        <f t="shared" si="0"/>
        <v>33</v>
      </c>
      <c r="F13" s="35">
        <v>9</v>
      </c>
      <c r="G13" s="35">
        <v>8</v>
      </c>
      <c r="H13" s="24">
        <f t="shared" si="1"/>
        <v>17</v>
      </c>
      <c r="I13" s="4">
        <v>8</v>
      </c>
      <c r="J13" s="31">
        <v>7</v>
      </c>
      <c r="K13" s="4">
        <v>9</v>
      </c>
      <c r="L13" s="4">
        <v>9</v>
      </c>
      <c r="M13" s="4">
        <v>8</v>
      </c>
      <c r="N13" s="35">
        <v>7</v>
      </c>
      <c r="O13" s="35">
        <v>8</v>
      </c>
      <c r="P13" s="24">
        <f t="shared" si="2"/>
        <v>15</v>
      </c>
      <c r="Q13" s="35">
        <v>5</v>
      </c>
      <c r="R13" s="35">
        <v>9</v>
      </c>
      <c r="S13" s="24">
        <f t="shared" si="3"/>
        <v>14</v>
      </c>
      <c r="T13" s="35">
        <v>10</v>
      </c>
      <c r="U13" s="35">
        <v>10</v>
      </c>
      <c r="V13" s="24">
        <f t="shared" si="4"/>
        <v>20</v>
      </c>
      <c r="W13" s="4">
        <v>8</v>
      </c>
      <c r="X13" s="31">
        <v>8</v>
      </c>
      <c r="Y13" s="22">
        <f t="shared" si="5"/>
        <v>16</v>
      </c>
    </row>
    <row r="14" spans="1:25" x14ac:dyDescent="0.25">
      <c r="A14" s="35">
        <v>10</v>
      </c>
      <c r="B14" s="35">
        <v>10</v>
      </c>
      <c r="C14" s="35">
        <v>10</v>
      </c>
      <c r="D14" s="36">
        <v>10</v>
      </c>
      <c r="E14" s="22">
        <f t="shared" si="0"/>
        <v>40</v>
      </c>
      <c r="F14" s="35">
        <v>8</v>
      </c>
      <c r="G14" s="35">
        <v>10</v>
      </c>
      <c r="H14" s="24">
        <f t="shared" si="1"/>
        <v>18</v>
      </c>
      <c r="I14" s="4">
        <v>10</v>
      </c>
      <c r="J14" s="31">
        <v>9</v>
      </c>
      <c r="K14" s="4">
        <v>8</v>
      </c>
      <c r="L14" s="4">
        <v>10</v>
      </c>
      <c r="M14" s="4">
        <v>10</v>
      </c>
      <c r="N14" s="35">
        <v>9</v>
      </c>
      <c r="O14" s="35">
        <v>10</v>
      </c>
      <c r="P14" s="24">
        <f t="shared" si="2"/>
        <v>19</v>
      </c>
      <c r="Q14" s="35">
        <v>8</v>
      </c>
      <c r="R14" s="35">
        <v>9</v>
      </c>
      <c r="S14" s="24">
        <f t="shared" si="3"/>
        <v>17</v>
      </c>
      <c r="T14" s="35">
        <v>10</v>
      </c>
      <c r="U14" s="35">
        <v>10</v>
      </c>
      <c r="V14" s="24">
        <f t="shared" si="4"/>
        <v>20</v>
      </c>
      <c r="W14" s="4">
        <v>10</v>
      </c>
      <c r="X14" s="31">
        <v>8</v>
      </c>
      <c r="Y14" s="22">
        <f t="shared" si="5"/>
        <v>18</v>
      </c>
    </row>
    <row r="15" spans="1:25" x14ac:dyDescent="0.25">
      <c r="A15" s="35">
        <v>8</v>
      </c>
      <c r="B15" s="35">
        <v>10</v>
      </c>
      <c r="C15" s="35">
        <v>10</v>
      </c>
      <c r="D15" s="36">
        <v>10</v>
      </c>
      <c r="E15" s="22">
        <f t="shared" si="0"/>
        <v>38</v>
      </c>
      <c r="F15" s="35">
        <v>10</v>
      </c>
      <c r="G15" s="35">
        <v>10</v>
      </c>
      <c r="H15" s="24">
        <f t="shared" si="1"/>
        <v>20</v>
      </c>
      <c r="I15" s="4">
        <v>10</v>
      </c>
      <c r="J15" s="31">
        <v>9</v>
      </c>
      <c r="K15" s="4">
        <v>10</v>
      </c>
      <c r="L15" s="4">
        <v>10</v>
      </c>
      <c r="M15" s="4">
        <v>10</v>
      </c>
      <c r="N15" s="35">
        <v>9</v>
      </c>
      <c r="O15" s="35">
        <v>10</v>
      </c>
      <c r="P15" s="24">
        <f t="shared" si="2"/>
        <v>19</v>
      </c>
      <c r="Q15" s="35">
        <v>8</v>
      </c>
      <c r="R15" s="35">
        <v>7</v>
      </c>
      <c r="S15" s="24">
        <f t="shared" si="3"/>
        <v>15</v>
      </c>
      <c r="T15" s="35">
        <v>10</v>
      </c>
      <c r="U15" s="35">
        <v>10</v>
      </c>
      <c r="V15" s="24">
        <f t="shared" si="4"/>
        <v>20</v>
      </c>
      <c r="W15" s="4">
        <v>10</v>
      </c>
      <c r="X15" s="31">
        <v>8</v>
      </c>
      <c r="Y15" s="22">
        <f t="shared" si="5"/>
        <v>18</v>
      </c>
    </row>
    <row r="16" spans="1:25" x14ac:dyDescent="0.25">
      <c r="A16" s="35">
        <v>10</v>
      </c>
      <c r="B16" s="35">
        <v>9</v>
      </c>
      <c r="C16" s="35">
        <v>10</v>
      </c>
      <c r="D16" s="36">
        <v>10</v>
      </c>
      <c r="E16" s="22">
        <f t="shared" si="0"/>
        <v>39</v>
      </c>
      <c r="F16" s="35">
        <v>10</v>
      </c>
      <c r="G16" s="35">
        <v>10</v>
      </c>
      <c r="H16" s="24">
        <f t="shared" si="1"/>
        <v>20</v>
      </c>
      <c r="I16" s="4">
        <v>9</v>
      </c>
      <c r="J16" s="31">
        <v>10</v>
      </c>
      <c r="K16" s="4">
        <v>7</v>
      </c>
      <c r="L16" s="4">
        <v>10</v>
      </c>
      <c r="M16" s="4">
        <v>10</v>
      </c>
      <c r="N16" s="35">
        <v>6</v>
      </c>
      <c r="O16" s="35">
        <v>9</v>
      </c>
      <c r="P16" s="24">
        <f t="shared" si="2"/>
        <v>15</v>
      </c>
      <c r="Q16" s="35">
        <v>10</v>
      </c>
      <c r="R16" s="35">
        <v>6</v>
      </c>
      <c r="S16" s="24">
        <f t="shared" si="3"/>
        <v>16</v>
      </c>
      <c r="T16" s="35">
        <v>10</v>
      </c>
      <c r="U16" s="35">
        <v>10</v>
      </c>
      <c r="V16" s="24">
        <f t="shared" si="4"/>
        <v>20</v>
      </c>
      <c r="W16" s="4">
        <v>10</v>
      </c>
      <c r="X16" s="31">
        <v>10</v>
      </c>
      <c r="Y16" s="22">
        <f t="shared" si="5"/>
        <v>20</v>
      </c>
    </row>
    <row r="17" spans="1:25" x14ac:dyDescent="0.25">
      <c r="A17" s="35">
        <v>7</v>
      </c>
      <c r="B17" s="35">
        <v>6</v>
      </c>
      <c r="C17" s="35">
        <v>6</v>
      </c>
      <c r="D17" s="36">
        <v>10</v>
      </c>
      <c r="E17" s="22">
        <f t="shared" si="0"/>
        <v>29</v>
      </c>
      <c r="F17" s="35">
        <v>5</v>
      </c>
      <c r="G17" s="35">
        <v>8</v>
      </c>
      <c r="H17" s="24">
        <f t="shared" si="1"/>
        <v>13</v>
      </c>
      <c r="I17" s="4">
        <v>5</v>
      </c>
      <c r="J17" s="31">
        <v>6</v>
      </c>
      <c r="K17" s="4">
        <v>8</v>
      </c>
      <c r="L17" s="4">
        <v>7</v>
      </c>
      <c r="M17" s="4">
        <v>1</v>
      </c>
      <c r="N17" s="35">
        <v>9</v>
      </c>
      <c r="O17" s="35">
        <v>6</v>
      </c>
      <c r="P17" s="24">
        <f t="shared" si="2"/>
        <v>15</v>
      </c>
      <c r="Q17" s="35">
        <v>2</v>
      </c>
      <c r="R17" s="35">
        <v>6</v>
      </c>
      <c r="S17" s="24">
        <f t="shared" si="3"/>
        <v>8</v>
      </c>
      <c r="T17" s="35">
        <v>7</v>
      </c>
      <c r="U17" s="35">
        <v>10</v>
      </c>
      <c r="V17" s="24">
        <f t="shared" si="4"/>
        <v>17</v>
      </c>
      <c r="W17" s="4">
        <v>10</v>
      </c>
      <c r="X17" s="31">
        <v>8</v>
      </c>
      <c r="Y17" s="22">
        <f t="shared" si="5"/>
        <v>18</v>
      </c>
    </row>
    <row r="18" spans="1:25" x14ac:dyDescent="0.25">
      <c r="A18" s="35">
        <v>10</v>
      </c>
      <c r="B18" s="35">
        <v>10</v>
      </c>
      <c r="C18" s="35">
        <v>10</v>
      </c>
      <c r="D18" s="36">
        <v>10</v>
      </c>
      <c r="E18" s="22">
        <f t="shared" si="0"/>
        <v>40</v>
      </c>
      <c r="F18" s="35">
        <v>10</v>
      </c>
      <c r="G18" s="35">
        <v>10</v>
      </c>
      <c r="H18" s="24">
        <f t="shared" si="1"/>
        <v>20</v>
      </c>
      <c r="I18" s="4">
        <v>10</v>
      </c>
      <c r="J18" s="31">
        <v>10</v>
      </c>
      <c r="K18" s="4">
        <v>10</v>
      </c>
      <c r="L18" s="4">
        <v>10</v>
      </c>
      <c r="M18" s="4">
        <v>10</v>
      </c>
      <c r="N18" s="35">
        <v>9</v>
      </c>
      <c r="O18" s="35">
        <v>10</v>
      </c>
      <c r="P18" s="24">
        <f t="shared" si="2"/>
        <v>19</v>
      </c>
      <c r="Q18" s="35">
        <v>10</v>
      </c>
      <c r="R18" s="35">
        <v>9</v>
      </c>
      <c r="S18" s="24">
        <f t="shared" si="3"/>
        <v>19</v>
      </c>
      <c r="T18" s="35">
        <v>10</v>
      </c>
      <c r="U18" s="35">
        <v>10</v>
      </c>
      <c r="V18" s="24">
        <f t="shared" si="4"/>
        <v>20</v>
      </c>
      <c r="W18" s="4">
        <v>10</v>
      </c>
      <c r="X18" s="31">
        <v>10</v>
      </c>
      <c r="Y18" s="22">
        <f t="shared" si="5"/>
        <v>20</v>
      </c>
    </row>
    <row r="19" spans="1:25" x14ac:dyDescent="0.25">
      <c r="A19" s="35">
        <v>10</v>
      </c>
      <c r="B19" s="35">
        <v>10</v>
      </c>
      <c r="C19" s="35">
        <v>10</v>
      </c>
      <c r="D19" s="36">
        <v>6</v>
      </c>
      <c r="E19" s="22">
        <f t="shared" si="0"/>
        <v>36</v>
      </c>
      <c r="F19" s="35">
        <v>10</v>
      </c>
      <c r="G19" s="35">
        <v>10</v>
      </c>
      <c r="H19" s="24">
        <f t="shared" si="1"/>
        <v>20</v>
      </c>
      <c r="I19" s="4">
        <v>10</v>
      </c>
      <c r="J19" s="31">
        <v>5</v>
      </c>
      <c r="K19" s="4">
        <v>10</v>
      </c>
      <c r="L19" s="4">
        <v>10</v>
      </c>
      <c r="M19" s="4">
        <v>10</v>
      </c>
      <c r="N19" s="35">
        <v>5</v>
      </c>
      <c r="O19" s="35">
        <v>5</v>
      </c>
      <c r="P19" s="24">
        <f t="shared" si="2"/>
        <v>10</v>
      </c>
      <c r="Q19" s="35">
        <v>10</v>
      </c>
      <c r="R19" s="35">
        <v>5</v>
      </c>
      <c r="S19" s="24">
        <f t="shared" si="3"/>
        <v>15</v>
      </c>
      <c r="T19" s="35">
        <v>10</v>
      </c>
      <c r="U19" s="35">
        <v>10</v>
      </c>
      <c r="V19" s="24">
        <f t="shared" si="4"/>
        <v>20</v>
      </c>
      <c r="W19" s="4">
        <v>5</v>
      </c>
      <c r="X19" s="31">
        <v>5</v>
      </c>
      <c r="Y19" s="22">
        <f t="shared" si="5"/>
        <v>10</v>
      </c>
    </row>
    <row r="20" spans="1:25" x14ac:dyDescent="0.25">
      <c r="A20" s="35">
        <v>10</v>
      </c>
      <c r="B20" s="35">
        <v>10</v>
      </c>
      <c r="C20" s="35">
        <v>10</v>
      </c>
      <c r="D20" s="36">
        <v>6</v>
      </c>
      <c r="E20" s="22">
        <f t="shared" si="0"/>
        <v>36</v>
      </c>
      <c r="F20" s="35">
        <v>10</v>
      </c>
      <c r="G20" s="35">
        <v>10</v>
      </c>
      <c r="H20" s="24">
        <f t="shared" si="1"/>
        <v>20</v>
      </c>
      <c r="I20" s="4">
        <v>10</v>
      </c>
      <c r="J20" s="31">
        <v>5</v>
      </c>
      <c r="K20" s="4">
        <v>10</v>
      </c>
      <c r="L20" s="4">
        <v>10</v>
      </c>
      <c r="M20" s="4">
        <v>10</v>
      </c>
      <c r="N20" s="35">
        <v>5</v>
      </c>
      <c r="O20" s="35">
        <v>5</v>
      </c>
      <c r="P20" s="24">
        <f t="shared" si="2"/>
        <v>10</v>
      </c>
      <c r="Q20" s="35">
        <v>10</v>
      </c>
      <c r="R20" s="35">
        <v>5</v>
      </c>
      <c r="S20" s="24">
        <f t="shared" si="3"/>
        <v>15</v>
      </c>
      <c r="T20" s="35">
        <v>10</v>
      </c>
      <c r="U20" s="35">
        <v>10</v>
      </c>
      <c r="V20" s="24">
        <f t="shared" si="4"/>
        <v>20</v>
      </c>
      <c r="W20" s="4">
        <v>5</v>
      </c>
      <c r="X20" s="31">
        <v>5</v>
      </c>
      <c r="Y20" s="22">
        <f t="shared" si="5"/>
        <v>10</v>
      </c>
    </row>
    <row r="21" spans="1:25" x14ac:dyDescent="0.25">
      <c r="A21" s="35">
        <v>10</v>
      </c>
      <c r="B21" s="35">
        <v>10</v>
      </c>
      <c r="C21" s="35">
        <v>10</v>
      </c>
      <c r="D21" s="36">
        <v>6</v>
      </c>
      <c r="E21" s="22">
        <f t="shared" si="0"/>
        <v>36</v>
      </c>
      <c r="F21" s="35">
        <v>10</v>
      </c>
      <c r="G21" s="35">
        <v>10</v>
      </c>
      <c r="H21" s="24">
        <f t="shared" si="1"/>
        <v>20</v>
      </c>
      <c r="I21" s="4">
        <v>10</v>
      </c>
      <c r="J21" s="31">
        <v>5</v>
      </c>
      <c r="K21" s="4">
        <v>10</v>
      </c>
      <c r="L21" s="4">
        <v>10</v>
      </c>
      <c r="M21" s="4">
        <v>10</v>
      </c>
      <c r="N21" s="35">
        <v>5</v>
      </c>
      <c r="O21" s="35">
        <v>5</v>
      </c>
      <c r="P21" s="24">
        <f t="shared" si="2"/>
        <v>10</v>
      </c>
      <c r="Q21" s="35">
        <v>10</v>
      </c>
      <c r="R21" s="35">
        <v>5</v>
      </c>
      <c r="S21" s="24">
        <f t="shared" si="3"/>
        <v>15</v>
      </c>
      <c r="T21" s="35">
        <v>10</v>
      </c>
      <c r="U21" s="35">
        <v>10</v>
      </c>
      <c r="V21" s="24">
        <f t="shared" si="4"/>
        <v>20</v>
      </c>
      <c r="W21" s="4">
        <v>5</v>
      </c>
      <c r="X21" s="31">
        <v>5</v>
      </c>
      <c r="Y21" s="22">
        <f t="shared" si="5"/>
        <v>10</v>
      </c>
    </row>
    <row r="22" spans="1:25" x14ac:dyDescent="0.25">
      <c r="A22" s="35">
        <v>10</v>
      </c>
      <c r="B22" s="35">
        <v>10</v>
      </c>
      <c r="C22" s="35">
        <v>10</v>
      </c>
      <c r="D22" s="36">
        <v>4</v>
      </c>
      <c r="E22" s="22">
        <f t="shared" si="0"/>
        <v>34</v>
      </c>
      <c r="F22" s="35">
        <v>10</v>
      </c>
      <c r="G22" s="35">
        <v>10</v>
      </c>
      <c r="H22" s="24">
        <f t="shared" si="1"/>
        <v>20</v>
      </c>
      <c r="I22" s="4">
        <v>10</v>
      </c>
      <c r="J22" s="31">
        <v>5</v>
      </c>
      <c r="K22" s="4">
        <v>10</v>
      </c>
      <c r="L22" s="4">
        <v>10</v>
      </c>
      <c r="M22" s="4">
        <v>10</v>
      </c>
      <c r="N22" s="35">
        <v>5</v>
      </c>
      <c r="O22" s="35">
        <v>5</v>
      </c>
      <c r="P22" s="24">
        <f t="shared" si="2"/>
        <v>10</v>
      </c>
      <c r="Q22" s="35">
        <v>10</v>
      </c>
      <c r="R22" s="35">
        <v>5</v>
      </c>
      <c r="S22" s="24">
        <f t="shared" si="3"/>
        <v>15</v>
      </c>
      <c r="T22" s="35">
        <v>10</v>
      </c>
      <c r="U22" s="35">
        <v>10</v>
      </c>
      <c r="V22" s="24">
        <f t="shared" si="4"/>
        <v>20</v>
      </c>
      <c r="W22" s="4">
        <v>5</v>
      </c>
      <c r="X22" s="31">
        <v>5</v>
      </c>
      <c r="Y22" s="22">
        <f t="shared" si="5"/>
        <v>10</v>
      </c>
    </row>
    <row r="23" spans="1:25" x14ac:dyDescent="0.25">
      <c r="A23" s="35">
        <v>10</v>
      </c>
      <c r="B23" s="35">
        <v>10</v>
      </c>
      <c r="C23" s="35">
        <v>10</v>
      </c>
      <c r="D23" s="36">
        <v>4</v>
      </c>
      <c r="E23" s="22">
        <f t="shared" si="0"/>
        <v>34</v>
      </c>
      <c r="F23" s="35">
        <v>10</v>
      </c>
      <c r="G23" s="35">
        <v>10</v>
      </c>
      <c r="H23" s="24">
        <f t="shared" si="1"/>
        <v>20</v>
      </c>
      <c r="I23" s="4">
        <v>10</v>
      </c>
      <c r="J23" s="31">
        <v>5</v>
      </c>
      <c r="K23" s="4">
        <v>10</v>
      </c>
      <c r="L23" s="4">
        <v>10</v>
      </c>
      <c r="M23" s="4">
        <v>10</v>
      </c>
      <c r="N23" s="35">
        <v>5</v>
      </c>
      <c r="O23" s="35">
        <v>5</v>
      </c>
      <c r="P23" s="24">
        <f t="shared" si="2"/>
        <v>10</v>
      </c>
      <c r="Q23" s="35">
        <v>10</v>
      </c>
      <c r="R23" s="35">
        <v>5</v>
      </c>
      <c r="S23" s="24">
        <f t="shared" si="3"/>
        <v>15</v>
      </c>
      <c r="T23" s="35">
        <v>10</v>
      </c>
      <c r="U23" s="35">
        <v>10</v>
      </c>
      <c r="V23" s="24">
        <f t="shared" si="4"/>
        <v>20</v>
      </c>
      <c r="W23" s="4">
        <v>5</v>
      </c>
      <c r="X23" s="31">
        <v>5</v>
      </c>
      <c r="Y23" s="22">
        <f t="shared" si="5"/>
        <v>10</v>
      </c>
    </row>
    <row r="24" spans="1:25" x14ac:dyDescent="0.25">
      <c r="A24" s="35">
        <v>10</v>
      </c>
      <c r="B24" s="35">
        <v>10</v>
      </c>
      <c r="C24" s="35">
        <v>10</v>
      </c>
      <c r="D24" s="36">
        <v>4</v>
      </c>
      <c r="E24" s="22">
        <f t="shared" si="0"/>
        <v>34</v>
      </c>
      <c r="F24" s="35">
        <v>10</v>
      </c>
      <c r="G24" s="35">
        <v>10</v>
      </c>
      <c r="H24" s="24">
        <f t="shared" si="1"/>
        <v>20</v>
      </c>
      <c r="I24" s="4">
        <v>10</v>
      </c>
      <c r="J24" s="31">
        <v>5</v>
      </c>
      <c r="K24" s="4">
        <v>10</v>
      </c>
      <c r="L24" s="4">
        <v>10</v>
      </c>
      <c r="M24" s="4">
        <v>10</v>
      </c>
      <c r="N24" s="35">
        <v>5</v>
      </c>
      <c r="O24" s="35">
        <v>5</v>
      </c>
      <c r="P24" s="24">
        <f t="shared" si="2"/>
        <v>10</v>
      </c>
      <c r="Q24" s="35">
        <v>10</v>
      </c>
      <c r="R24" s="35">
        <v>5</v>
      </c>
      <c r="S24" s="24">
        <f t="shared" si="3"/>
        <v>15</v>
      </c>
      <c r="T24" s="35">
        <v>10</v>
      </c>
      <c r="U24" s="35">
        <v>10</v>
      </c>
      <c r="V24" s="24">
        <f t="shared" si="4"/>
        <v>20</v>
      </c>
      <c r="W24" s="4">
        <v>5</v>
      </c>
      <c r="X24" s="31">
        <v>5</v>
      </c>
      <c r="Y24" s="22">
        <f t="shared" si="5"/>
        <v>10</v>
      </c>
    </row>
    <row r="25" spans="1:25" x14ac:dyDescent="0.25">
      <c r="A25" s="36"/>
      <c r="B25" s="36"/>
      <c r="C25" s="36"/>
      <c r="D25" s="36"/>
      <c r="E25" s="22"/>
      <c r="F25" s="36"/>
      <c r="G25" s="36"/>
      <c r="H25" s="22"/>
      <c r="N25" s="36"/>
      <c r="O25" s="36"/>
      <c r="P25" s="22"/>
      <c r="Q25" s="36"/>
      <c r="R25" s="36"/>
      <c r="S25" s="22"/>
      <c r="T25" s="36"/>
      <c r="U25" s="36"/>
      <c r="V25" s="22"/>
      <c r="Y25" s="22"/>
    </row>
    <row r="26" spans="1:25" x14ac:dyDescent="0.25">
      <c r="A26" s="36">
        <f>AVERAGE(A3:A24)</f>
        <v>8.3181818181818183</v>
      </c>
      <c r="B26" s="36">
        <f t="shared" ref="B26:C26" si="6">AVERAGE(B3:B24)</f>
        <v>9.045454545454545</v>
      </c>
      <c r="C26" s="36">
        <f t="shared" si="6"/>
        <v>9.2272727272727266</v>
      </c>
      <c r="D26" s="36">
        <v>8.2727272727272734</v>
      </c>
      <c r="E26" s="22">
        <f>AVERAGE(E3:E24)/4</f>
        <v>8.7159090909090917</v>
      </c>
      <c r="F26" s="36">
        <f t="shared" ref="F26:X26" si="7">AVERAGE(F3:F24)</f>
        <v>8.5</v>
      </c>
      <c r="G26" s="36">
        <f t="shared" si="7"/>
        <v>9.6363636363636367</v>
      </c>
      <c r="H26" s="22">
        <f>AVERAGE(H3:H24)/2</f>
        <v>9.0681818181818183</v>
      </c>
      <c r="I26">
        <f t="shared" si="7"/>
        <v>9</v>
      </c>
      <c r="J26" s="32">
        <f t="shared" si="7"/>
        <v>7.4545454545454541</v>
      </c>
      <c r="K26">
        <f t="shared" si="7"/>
        <v>8.545454545454545</v>
      </c>
      <c r="L26">
        <f t="shared" si="7"/>
        <v>8.7272727272727266</v>
      </c>
      <c r="M26">
        <f t="shared" si="7"/>
        <v>9.3181818181818183</v>
      </c>
      <c r="N26" s="36">
        <f t="shared" si="7"/>
        <v>7.4545454545454541</v>
      </c>
      <c r="O26" s="36">
        <f t="shared" si="7"/>
        <v>7.4545454545454541</v>
      </c>
      <c r="P26" s="22">
        <f>AVERAGE(P3:P24)/2</f>
        <v>7.4545454545454541</v>
      </c>
      <c r="Q26" s="36">
        <f t="shared" si="7"/>
        <v>8.1818181818181817</v>
      </c>
      <c r="R26" s="36">
        <f t="shared" si="7"/>
        <v>7.6363636363636367</v>
      </c>
      <c r="S26" s="22">
        <f>AVERAGE(S3:S24)/2</f>
        <v>7.9090909090909092</v>
      </c>
      <c r="T26" s="36">
        <f t="shared" si="7"/>
        <v>9.8636363636363633</v>
      </c>
      <c r="U26" s="36">
        <f t="shared" si="7"/>
        <v>9.6363636363636367</v>
      </c>
      <c r="V26" s="22">
        <f>AVERAGE(V3:V24)/2</f>
        <v>9.75</v>
      </c>
      <c r="W26">
        <f t="shared" si="7"/>
        <v>8.545454545454545</v>
      </c>
      <c r="X26" s="32">
        <f t="shared" si="7"/>
        <v>7.6363636363636367</v>
      </c>
      <c r="Y26" s="22">
        <f>AVERAGE(Y3:Y24)/2</f>
        <v>8.0909090909090917</v>
      </c>
    </row>
    <row r="27" spans="1:25" x14ac:dyDescent="0.25">
      <c r="A27" s="36">
        <f>_xlfn.STDEV.S(A3:A24)</f>
        <v>2.1905938233048357</v>
      </c>
      <c r="B27" s="36">
        <f t="shared" ref="B27:C27" si="8">_xlfn.STDEV.S(B3:B24)</f>
        <v>1.7855844108615224</v>
      </c>
      <c r="C27" s="36">
        <f t="shared" si="8"/>
        <v>2.0686277526951953</v>
      </c>
      <c r="D27" s="36">
        <v>2.7112080979978916</v>
      </c>
      <c r="E27" s="22">
        <f>STDEV(E4:E25)/4</f>
        <v>1.3393095235978874</v>
      </c>
      <c r="F27" s="36">
        <f t="shared" ref="F27:X27" si="9">_xlfn.STDEV.S(F3:F24)</f>
        <v>2.5773740789526736</v>
      </c>
      <c r="G27" s="36">
        <f t="shared" si="9"/>
        <v>1.0021621646864345</v>
      </c>
      <c r="H27" s="22">
        <f>_xlfn.STDEV.S(H3:H24)/2</f>
        <v>1.6057593852950705</v>
      </c>
      <c r="I27">
        <f t="shared" si="9"/>
        <v>1.5735915849388864</v>
      </c>
      <c r="J27" s="32">
        <f t="shared" si="9"/>
        <v>1.8446130766633431</v>
      </c>
      <c r="K27">
        <f t="shared" si="9"/>
        <v>2.2620528545732785</v>
      </c>
      <c r="L27">
        <f t="shared" si="9"/>
        <v>2.3336425274423331</v>
      </c>
      <c r="M27">
        <f t="shared" si="9"/>
        <v>2.0091780749342592</v>
      </c>
      <c r="N27" s="36">
        <f t="shared" si="9"/>
        <v>1.8186146670912202</v>
      </c>
      <c r="O27" s="36">
        <f t="shared" si="9"/>
        <v>2.1542266920388493</v>
      </c>
      <c r="P27" s="22">
        <f>_xlfn.STDEV.S(P3:P24)/2</f>
        <v>1.8186146670912202</v>
      </c>
      <c r="Q27" s="36">
        <f t="shared" si="9"/>
        <v>2.2811100813996688</v>
      </c>
      <c r="R27" s="36">
        <f t="shared" si="9"/>
        <v>1.9650628136199255</v>
      </c>
      <c r="S27" s="22">
        <f>_xlfn.STDEV.S(S3:S24)/2</f>
        <v>1.2501082204235598</v>
      </c>
      <c r="T27" s="36">
        <f t="shared" si="9"/>
        <v>0.63960214906683133</v>
      </c>
      <c r="U27" s="36">
        <f t="shared" si="9"/>
        <v>1.3289972784899757</v>
      </c>
      <c r="V27" s="22">
        <f>_xlfn.STDEV.S(V3:V24)/2</f>
        <v>0.71962291712892446</v>
      </c>
      <c r="W27">
        <f t="shared" si="9"/>
        <v>2.2620528545732785</v>
      </c>
      <c r="X27" s="32">
        <f t="shared" si="9"/>
        <v>1.9406786870148707</v>
      </c>
      <c r="Y27" s="22">
        <f>_xlfn.STDEV.S(Y3:Y24)/2</f>
        <v>2.0215291456172686</v>
      </c>
    </row>
    <row r="32" spans="1:25" x14ac:dyDescent="0.25">
      <c r="A32" s="13"/>
      <c r="B32" s="13" t="s">
        <v>246</v>
      </c>
      <c r="C32" t="s">
        <v>194</v>
      </c>
      <c r="D32" s="36" t="s">
        <v>196</v>
      </c>
      <c r="E32" s="13" t="s">
        <v>180</v>
      </c>
      <c r="F32" s="29" t="s">
        <v>206</v>
      </c>
      <c r="G32" s="13" t="s">
        <v>195</v>
      </c>
      <c r="H32" s="13" t="s">
        <v>197</v>
      </c>
      <c r="I32" s="13" t="s">
        <v>198</v>
      </c>
      <c r="J32" s="13"/>
      <c r="K32" s="29"/>
      <c r="L32" s="13"/>
      <c r="M32" s="13"/>
      <c r="N32" s="13"/>
    </row>
    <row r="33" spans="1:14" x14ac:dyDescent="0.25">
      <c r="A33" s="13"/>
      <c r="B33" s="13" t="s">
        <v>245</v>
      </c>
      <c r="C33" t="s">
        <v>243</v>
      </c>
      <c r="D33" s="37" t="s">
        <v>244</v>
      </c>
      <c r="E33" s="40" t="s">
        <v>5</v>
      </c>
      <c r="F33" s="41" t="s">
        <v>18</v>
      </c>
      <c r="G33" s="40" t="s">
        <v>7</v>
      </c>
      <c r="H33" s="40" t="s">
        <v>9</v>
      </c>
      <c r="I33" s="40" t="s">
        <v>10</v>
      </c>
      <c r="J33" s="42" t="s">
        <v>239</v>
      </c>
      <c r="K33" s="30" t="s">
        <v>240</v>
      </c>
      <c r="L33" s="30" t="s">
        <v>241</v>
      </c>
      <c r="M33" s="30" t="s">
        <v>242</v>
      </c>
      <c r="N33" s="43" t="s">
        <v>234</v>
      </c>
    </row>
    <row r="34" spans="1:14" x14ac:dyDescent="0.25">
      <c r="A34" s="13"/>
      <c r="B34" s="13">
        <f>AVERAGE(A3,B3,D3,G3)</f>
        <v>8</v>
      </c>
      <c r="C34" s="35">
        <v>10</v>
      </c>
      <c r="D34" s="35">
        <v>10</v>
      </c>
      <c r="E34" s="42">
        <v>10</v>
      </c>
      <c r="F34" s="31">
        <v>7</v>
      </c>
      <c r="G34" s="42">
        <v>8</v>
      </c>
      <c r="H34" s="42">
        <v>7</v>
      </c>
      <c r="I34" s="42">
        <v>10</v>
      </c>
      <c r="J34" s="13">
        <f t="shared" ref="J34:J55" si="10">AVERAGE(N3:O3)</f>
        <v>8.5</v>
      </c>
      <c r="K34" s="29">
        <f t="shared" ref="K34:K55" si="11">AVERAGE(Q3:R3)</f>
        <v>8.5</v>
      </c>
      <c r="L34" s="13">
        <f t="shared" ref="L34:L55" si="12">AVERAGE(T3:U3)</f>
        <v>10</v>
      </c>
      <c r="M34" s="13">
        <f t="shared" ref="M34:M55" si="13">AVERAGE(W3:X3)</f>
        <v>10</v>
      </c>
      <c r="N34" s="44">
        <f t="shared" ref="N34:N55" si="14">AVERAGE(B34:M34)*10</f>
        <v>89.166666666666657</v>
      </c>
    </row>
    <row r="35" spans="1:14" x14ac:dyDescent="0.25">
      <c r="A35" s="13"/>
      <c r="B35" s="13">
        <f t="shared" ref="B35:B55" si="15">AVERAGE(A4,B4,D4,G4)</f>
        <v>8.5</v>
      </c>
      <c r="C35" s="35">
        <v>10</v>
      </c>
      <c r="D35" s="35">
        <v>7</v>
      </c>
      <c r="E35" s="42">
        <v>6</v>
      </c>
      <c r="F35" s="31">
        <v>9</v>
      </c>
      <c r="G35" s="42">
        <v>9</v>
      </c>
      <c r="H35" s="42">
        <v>7</v>
      </c>
      <c r="I35" s="42">
        <v>10</v>
      </c>
      <c r="J35" s="13">
        <f t="shared" si="10"/>
        <v>8.5</v>
      </c>
      <c r="K35" s="29">
        <f t="shared" si="11"/>
        <v>10</v>
      </c>
      <c r="L35" s="13">
        <f t="shared" si="12"/>
        <v>9</v>
      </c>
      <c r="M35" s="13">
        <f t="shared" si="13"/>
        <v>9</v>
      </c>
      <c r="N35" s="44">
        <f t="shared" si="14"/>
        <v>85.833333333333343</v>
      </c>
    </row>
    <row r="36" spans="1:14" x14ac:dyDescent="0.25">
      <c r="A36" s="13"/>
      <c r="B36" s="13">
        <f t="shared" si="15"/>
        <v>3.75</v>
      </c>
      <c r="C36" s="35">
        <v>9</v>
      </c>
      <c r="D36" s="35">
        <v>3</v>
      </c>
      <c r="E36" s="42">
        <v>6</v>
      </c>
      <c r="F36" s="31">
        <v>9</v>
      </c>
      <c r="G36" s="42">
        <v>4</v>
      </c>
      <c r="H36" s="42">
        <v>4</v>
      </c>
      <c r="I36" s="42">
        <v>7</v>
      </c>
      <c r="J36" s="13">
        <f t="shared" si="10"/>
        <v>6</v>
      </c>
      <c r="K36" s="29">
        <f t="shared" si="11"/>
        <v>8.5</v>
      </c>
      <c r="L36" s="13">
        <f t="shared" si="12"/>
        <v>7</v>
      </c>
      <c r="M36" s="13">
        <f t="shared" si="13"/>
        <v>9</v>
      </c>
      <c r="N36" s="44">
        <f t="shared" si="14"/>
        <v>63.541666666666671</v>
      </c>
    </row>
    <row r="37" spans="1:14" x14ac:dyDescent="0.25">
      <c r="A37" s="13"/>
      <c r="B37" s="13">
        <f t="shared" si="15"/>
        <v>9.75</v>
      </c>
      <c r="C37" s="35">
        <v>10</v>
      </c>
      <c r="D37" s="35">
        <v>6</v>
      </c>
      <c r="E37" s="42">
        <v>10</v>
      </c>
      <c r="F37" s="31">
        <v>9</v>
      </c>
      <c r="G37" s="42">
        <v>7</v>
      </c>
      <c r="H37" s="42">
        <v>10</v>
      </c>
      <c r="I37" s="42">
        <v>10</v>
      </c>
      <c r="J37" s="13">
        <f t="shared" si="10"/>
        <v>7</v>
      </c>
      <c r="K37" s="29">
        <f t="shared" si="11"/>
        <v>8</v>
      </c>
      <c r="L37" s="13">
        <f t="shared" si="12"/>
        <v>10</v>
      </c>
      <c r="M37" s="13">
        <f t="shared" si="13"/>
        <v>10</v>
      </c>
      <c r="N37" s="44">
        <f t="shared" si="14"/>
        <v>88.958333333333343</v>
      </c>
    </row>
    <row r="38" spans="1:14" x14ac:dyDescent="0.25">
      <c r="A38" s="13"/>
      <c r="B38" s="13">
        <f t="shared" si="15"/>
        <v>8.75</v>
      </c>
      <c r="C38" s="35">
        <v>10</v>
      </c>
      <c r="D38" s="35">
        <v>10</v>
      </c>
      <c r="E38" s="42">
        <v>10</v>
      </c>
      <c r="F38" s="31">
        <v>9</v>
      </c>
      <c r="G38" s="42">
        <v>8</v>
      </c>
      <c r="H38" s="42">
        <v>10</v>
      </c>
      <c r="I38" s="42">
        <v>10</v>
      </c>
      <c r="J38" s="13">
        <f t="shared" si="10"/>
        <v>8.5</v>
      </c>
      <c r="K38" s="29">
        <f t="shared" si="11"/>
        <v>7</v>
      </c>
      <c r="L38" s="13">
        <f t="shared" si="12"/>
        <v>10</v>
      </c>
      <c r="M38" s="13">
        <f t="shared" si="13"/>
        <v>9</v>
      </c>
      <c r="N38" s="44">
        <f t="shared" si="14"/>
        <v>91.875</v>
      </c>
    </row>
    <row r="39" spans="1:14" x14ac:dyDescent="0.25">
      <c r="A39" s="13"/>
      <c r="B39" s="13">
        <f t="shared" si="15"/>
        <v>10</v>
      </c>
      <c r="C39" s="35">
        <v>10</v>
      </c>
      <c r="D39" s="35">
        <v>10</v>
      </c>
      <c r="E39" s="42">
        <v>10</v>
      </c>
      <c r="F39" s="31">
        <v>8</v>
      </c>
      <c r="G39" s="42">
        <v>10</v>
      </c>
      <c r="H39" s="42">
        <v>10</v>
      </c>
      <c r="I39" s="42">
        <v>10</v>
      </c>
      <c r="J39" s="13">
        <f t="shared" si="10"/>
        <v>9.5</v>
      </c>
      <c r="K39" s="29">
        <f t="shared" si="11"/>
        <v>10</v>
      </c>
      <c r="L39" s="13">
        <f t="shared" si="12"/>
        <v>10</v>
      </c>
      <c r="M39" s="13">
        <f t="shared" si="13"/>
        <v>8</v>
      </c>
      <c r="N39" s="44">
        <f t="shared" si="14"/>
        <v>96.25</v>
      </c>
    </row>
    <row r="40" spans="1:14" x14ac:dyDescent="0.25">
      <c r="A40" s="13"/>
      <c r="B40" s="13">
        <f t="shared" si="15"/>
        <v>9.75</v>
      </c>
      <c r="C40" s="35">
        <v>10</v>
      </c>
      <c r="D40" s="35">
        <v>10</v>
      </c>
      <c r="E40" s="42">
        <v>10</v>
      </c>
      <c r="F40" s="31">
        <v>7</v>
      </c>
      <c r="G40" s="42">
        <v>10</v>
      </c>
      <c r="H40" s="42">
        <v>9</v>
      </c>
      <c r="I40" s="42">
        <v>10</v>
      </c>
      <c r="J40" s="13">
        <f t="shared" si="10"/>
        <v>9.5</v>
      </c>
      <c r="K40" s="29">
        <f t="shared" si="11"/>
        <v>9</v>
      </c>
      <c r="L40" s="13">
        <f t="shared" si="12"/>
        <v>10</v>
      </c>
      <c r="M40" s="13">
        <f t="shared" si="13"/>
        <v>10</v>
      </c>
      <c r="N40" s="44">
        <f t="shared" si="14"/>
        <v>95.208333333333343</v>
      </c>
    </row>
    <row r="41" spans="1:14" x14ac:dyDescent="0.25">
      <c r="A41" s="13"/>
      <c r="B41" s="13">
        <f t="shared" si="15"/>
        <v>8.75</v>
      </c>
      <c r="C41" s="35">
        <v>1</v>
      </c>
      <c r="D41" s="35">
        <v>1</v>
      </c>
      <c r="E41" s="42">
        <v>8</v>
      </c>
      <c r="F41" s="31">
        <v>9</v>
      </c>
      <c r="G41" s="42">
        <v>1</v>
      </c>
      <c r="H41" s="42">
        <v>1</v>
      </c>
      <c r="I41" s="42">
        <v>10</v>
      </c>
      <c r="J41" s="13">
        <f t="shared" si="10"/>
        <v>7.5</v>
      </c>
      <c r="K41" s="29">
        <f t="shared" si="11"/>
        <v>7</v>
      </c>
      <c r="L41" s="13">
        <f t="shared" si="12"/>
        <v>10</v>
      </c>
      <c r="M41" s="13">
        <f t="shared" si="13"/>
        <v>9</v>
      </c>
      <c r="N41" s="44">
        <f t="shared" si="14"/>
        <v>61.041666666666671</v>
      </c>
    </row>
    <row r="42" spans="1:14" x14ac:dyDescent="0.25">
      <c r="A42" s="13"/>
      <c r="B42" s="13">
        <f t="shared" si="15"/>
        <v>9</v>
      </c>
      <c r="C42" s="35">
        <v>9</v>
      </c>
      <c r="D42" s="35">
        <v>8</v>
      </c>
      <c r="E42" s="42">
        <v>8</v>
      </c>
      <c r="F42" s="31">
        <v>9</v>
      </c>
      <c r="G42" s="42">
        <v>9</v>
      </c>
      <c r="H42" s="42">
        <v>8</v>
      </c>
      <c r="I42" s="42">
        <v>9</v>
      </c>
      <c r="J42" s="13">
        <f t="shared" si="10"/>
        <v>8</v>
      </c>
      <c r="K42" s="29">
        <f t="shared" si="11"/>
        <v>8.5</v>
      </c>
      <c r="L42" s="13">
        <f t="shared" si="12"/>
        <v>10</v>
      </c>
      <c r="M42" s="13">
        <f t="shared" si="13"/>
        <v>9</v>
      </c>
      <c r="N42" s="44">
        <f t="shared" si="14"/>
        <v>87.083333333333343</v>
      </c>
    </row>
    <row r="43" spans="1:14" x14ac:dyDescent="0.25">
      <c r="A43" s="13"/>
      <c r="B43" s="13">
        <f t="shared" si="15"/>
        <v>10</v>
      </c>
      <c r="C43" s="35">
        <v>10</v>
      </c>
      <c r="D43" s="35">
        <v>10</v>
      </c>
      <c r="E43" s="42">
        <v>8</v>
      </c>
      <c r="F43" s="31">
        <v>7</v>
      </c>
      <c r="G43" s="42">
        <v>10</v>
      </c>
      <c r="H43" s="42">
        <v>10</v>
      </c>
      <c r="I43" s="42">
        <v>10</v>
      </c>
      <c r="J43" s="13">
        <f t="shared" si="10"/>
        <v>10</v>
      </c>
      <c r="K43" s="29">
        <f t="shared" si="11"/>
        <v>8</v>
      </c>
      <c r="L43" s="13">
        <f t="shared" si="12"/>
        <v>10</v>
      </c>
      <c r="M43" s="13">
        <f t="shared" si="13"/>
        <v>10</v>
      </c>
      <c r="N43" s="44">
        <f t="shared" si="14"/>
        <v>94.166666666666657</v>
      </c>
    </row>
    <row r="44" spans="1:14" x14ac:dyDescent="0.25">
      <c r="A44" s="13"/>
      <c r="B44" s="13">
        <f t="shared" si="15"/>
        <v>8.25</v>
      </c>
      <c r="C44" s="35">
        <v>8</v>
      </c>
      <c r="D44" s="35">
        <v>9</v>
      </c>
      <c r="E44" s="42">
        <v>8</v>
      </c>
      <c r="F44" s="31">
        <v>7</v>
      </c>
      <c r="G44" s="42">
        <v>9</v>
      </c>
      <c r="H44" s="42">
        <v>9</v>
      </c>
      <c r="I44" s="42">
        <v>8</v>
      </c>
      <c r="J44" s="13">
        <f t="shared" si="10"/>
        <v>7.5</v>
      </c>
      <c r="K44" s="29">
        <f t="shared" si="11"/>
        <v>7</v>
      </c>
      <c r="L44" s="13">
        <f t="shared" si="12"/>
        <v>10</v>
      </c>
      <c r="M44" s="13">
        <f t="shared" si="13"/>
        <v>8</v>
      </c>
      <c r="N44" s="44">
        <f t="shared" si="14"/>
        <v>82.291666666666657</v>
      </c>
    </row>
    <row r="45" spans="1:14" x14ac:dyDescent="0.25">
      <c r="A45" s="13"/>
      <c r="B45" s="13">
        <f t="shared" si="15"/>
        <v>10</v>
      </c>
      <c r="C45" s="35">
        <v>10</v>
      </c>
      <c r="D45" s="35">
        <v>8</v>
      </c>
      <c r="E45" s="42">
        <v>10</v>
      </c>
      <c r="F45" s="31">
        <v>9</v>
      </c>
      <c r="G45" s="42">
        <v>8</v>
      </c>
      <c r="H45" s="42">
        <v>10</v>
      </c>
      <c r="I45" s="42">
        <v>10</v>
      </c>
      <c r="J45" s="13">
        <f t="shared" si="10"/>
        <v>9.5</v>
      </c>
      <c r="K45" s="29">
        <f t="shared" si="11"/>
        <v>8.5</v>
      </c>
      <c r="L45" s="13">
        <f t="shared" si="12"/>
        <v>10</v>
      </c>
      <c r="M45" s="13">
        <f t="shared" si="13"/>
        <v>9</v>
      </c>
      <c r="N45" s="44">
        <f t="shared" si="14"/>
        <v>93.333333333333343</v>
      </c>
    </row>
    <row r="46" spans="1:14" x14ac:dyDescent="0.25">
      <c r="A46" s="13"/>
      <c r="B46" s="13">
        <f t="shared" si="15"/>
        <v>9.5</v>
      </c>
      <c r="C46" s="35">
        <v>10</v>
      </c>
      <c r="D46" s="35">
        <v>10</v>
      </c>
      <c r="E46" s="42">
        <v>10</v>
      </c>
      <c r="F46" s="31">
        <v>9</v>
      </c>
      <c r="G46" s="42">
        <v>10</v>
      </c>
      <c r="H46" s="42">
        <v>10</v>
      </c>
      <c r="I46" s="42">
        <v>10</v>
      </c>
      <c r="J46" s="13">
        <f t="shared" si="10"/>
        <v>9.5</v>
      </c>
      <c r="K46" s="29">
        <f t="shared" si="11"/>
        <v>7.5</v>
      </c>
      <c r="L46" s="13">
        <f t="shared" si="12"/>
        <v>10</v>
      </c>
      <c r="M46" s="13">
        <f t="shared" si="13"/>
        <v>9</v>
      </c>
      <c r="N46" s="44">
        <f t="shared" si="14"/>
        <v>95.416666666666657</v>
      </c>
    </row>
    <row r="47" spans="1:14" x14ac:dyDescent="0.25">
      <c r="A47" s="13"/>
      <c r="B47" s="13">
        <f t="shared" si="15"/>
        <v>9.75</v>
      </c>
      <c r="C47" s="35">
        <v>10</v>
      </c>
      <c r="D47" s="35">
        <v>10</v>
      </c>
      <c r="E47" s="42">
        <v>9</v>
      </c>
      <c r="F47" s="31">
        <v>10</v>
      </c>
      <c r="G47" s="42">
        <v>7</v>
      </c>
      <c r="H47" s="42">
        <v>10</v>
      </c>
      <c r="I47" s="42">
        <v>10</v>
      </c>
      <c r="J47" s="13">
        <f t="shared" si="10"/>
        <v>7.5</v>
      </c>
      <c r="K47" s="29">
        <f t="shared" si="11"/>
        <v>8</v>
      </c>
      <c r="L47" s="13">
        <f t="shared" si="12"/>
        <v>10</v>
      </c>
      <c r="M47" s="13">
        <f t="shared" si="13"/>
        <v>10</v>
      </c>
      <c r="N47" s="44">
        <f t="shared" si="14"/>
        <v>92.708333333333343</v>
      </c>
    </row>
    <row r="48" spans="1:14" x14ac:dyDescent="0.25">
      <c r="A48" s="13"/>
      <c r="B48" s="13">
        <f t="shared" si="15"/>
        <v>7.75</v>
      </c>
      <c r="C48" s="35">
        <v>6</v>
      </c>
      <c r="D48" s="35">
        <v>5</v>
      </c>
      <c r="E48" s="42">
        <v>5</v>
      </c>
      <c r="F48" s="31">
        <v>6</v>
      </c>
      <c r="G48" s="42">
        <v>8</v>
      </c>
      <c r="H48" s="42">
        <v>7</v>
      </c>
      <c r="I48" s="42">
        <v>1</v>
      </c>
      <c r="J48" s="13">
        <f t="shared" si="10"/>
        <v>7.5</v>
      </c>
      <c r="K48" s="29">
        <f t="shared" si="11"/>
        <v>4</v>
      </c>
      <c r="L48" s="13">
        <f t="shared" si="12"/>
        <v>8.5</v>
      </c>
      <c r="M48" s="13">
        <f t="shared" si="13"/>
        <v>9</v>
      </c>
      <c r="N48" s="44">
        <f t="shared" si="14"/>
        <v>62.291666666666671</v>
      </c>
    </row>
    <row r="49" spans="1:14" x14ac:dyDescent="0.25">
      <c r="A49" s="13"/>
      <c r="B49" s="13">
        <f t="shared" si="15"/>
        <v>10</v>
      </c>
      <c r="C49" s="35">
        <v>10</v>
      </c>
      <c r="D49" s="35">
        <v>10</v>
      </c>
      <c r="E49" s="42">
        <v>10</v>
      </c>
      <c r="F49" s="31">
        <v>10</v>
      </c>
      <c r="G49" s="42">
        <v>10</v>
      </c>
      <c r="H49" s="42">
        <v>10</v>
      </c>
      <c r="I49" s="42">
        <v>10</v>
      </c>
      <c r="J49" s="13">
        <f t="shared" si="10"/>
        <v>9.5</v>
      </c>
      <c r="K49" s="29">
        <f t="shared" si="11"/>
        <v>9.5</v>
      </c>
      <c r="L49" s="13">
        <f t="shared" si="12"/>
        <v>10</v>
      </c>
      <c r="M49" s="13">
        <f t="shared" si="13"/>
        <v>10</v>
      </c>
      <c r="N49" s="44">
        <f t="shared" si="14"/>
        <v>99.166666666666657</v>
      </c>
    </row>
    <row r="50" spans="1:14" x14ac:dyDescent="0.25">
      <c r="A50" s="13"/>
      <c r="B50" s="13">
        <f t="shared" si="15"/>
        <v>9</v>
      </c>
      <c r="C50" s="35">
        <v>10</v>
      </c>
      <c r="D50" s="35">
        <v>10</v>
      </c>
      <c r="E50" s="42">
        <v>10</v>
      </c>
      <c r="F50" s="31">
        <v>5</v>
      </c>
      <c r="G50" s="42">
        <v>10</v>
      </c>
      <c r="H50" s="42">
        <v>10</v>
      </c>
      <c r="I50" s="42">
        <v>10</v>
      </c>
      <c r="J50" s="13">
        <f t="shared" si="10"/>
        <v>5</v>
      </c>
      <c r="K50" s="29">
        <f t="shared" si="11"/>
        <v>7.5</v>
      </c>
      <c r="L50" s="13">
        <f t="shared" si="12"/>
        <v>10</v>
      </c>
      <c r="M50" s="13">
        <f t="shared" si="13"/>
        <v>5</v>
      </c>
      <c r="N50" s="44">
        <f t="shared" si="14"/>
        <v>84.583333333333343</v>
      </c>
    </row>
    <row r="51" spans="1:14" x14ac:dyDescent="0.25">
      <c r="A51" s="13"/>
      <c r="B51" s="13">
        <f t="shared" si="15"/>
        <v>9</v>
      </c>
      <c r="C51" s="35">
        <v>10</v>
      </c>
      <c r="D51" s="35">
        <v>10</v>
      </c>
      <c r="E51" s="42">
        <v>10</v>
      </c>
      <c r="F51" s="31">
        <v>5</v>
      </c>
      <c r="G51" s="42">
        <v>10</v>
      </c>
      <c r="H51" s="42">
        <v>10</v>
      </c>
      <c r="I51" s="42">
        <v>10</v>
      </c>
      <c r="J51" s="13">
        <f t="shared" si="10"/>
        <v>5</v>
      </c>
      <c r="K51" s="29">
        <f t="shared" si="11"/>
        <v>7.5</v>
      </c>
      <c r="L51" s="13">
        <f t="shared" si="12"/>
        <v>10</v>
      </c>
      <c r="M51" s="13">
        <f t="shared" si="13"/>
        <v>5</v>
      </c>
      <c r="N51" s="44">
        <f t="shared" si="14"/>
        <v>84.583333333333343</v>
      </c>
    </row>
    <row r="52" spans="1:14" x14ac:dyDescent="0.25">
      <c r="A52" s="13"/>
      <c r="B52" s="13">
        <f t="shared" si="15"/>
        <v>9</v>
      </c>
      <c r="C52" s="35">
        <v>10</v>
      </c>
      <c r="D52" s="35">
        <v>10</v>
      </c>
      <c r="E52" s="42">
        <v>10</v>
      </c>
      <c r="F52" s="31">
        <v>5</v>
      </c>
      <c r="G52" s="42">
        <v>10</v>
      </c>
      <c r="H52" s="42">
        <v>10</v>
      </c>
      <c r="I52" s="42">
        <v>10</v>
      </c>
      <c r="J52" s="13">
        <f t="shared" si="10"/>
        <v>5</v>
      </c>
      <c r="K52" s="29">
        <f t="shared" si="11"/>
        <v>7.5</v>
      </c>
      <c r="L52" s="13">
        <f t="shared" si="12"/>
        <v>10</v>
      </c>
      <c r="M52" s="13">
        <f t="shared" si="13"/>
        <v>5</v>
      </c>
      <c r="N52" s="44">
        <f t="shared" si="14"/>
        <v>84.583333333333343</v>
      </c>
    </row>
    <row r="53" spans="1:14" x14ac:dyDescent="0.25">
      <c r="A53" s="13"/>
      <c r="B53" s="13">
        <f t="shared" si="15"/>
        <v>8.5</v>
      </c>
      <c r="C53" s="35">
        <v>10</v>
      </c>
      <c r="D53" s="35">
        <v>10</v>
      </c>
      <c r="E53" s="42">
        <v>10</v>
      </c>
      <c r="F53" s="31">
        <v>5</v>
      </c>
      <c r="G53" s="42">
        <v>10</v>
      </c>
      <c r="H53" s="42">
        <v>10</v>
      </c>
      <c r="I53" s="42">
        <v>10</v>
      </c>
      <c r="J53" s="13">
        <f t="shared" si="10"/>
        <v>5</v>
      </c>
      <c r="K53" s="29">
        <f t="shared" si="11"/>
        <v>7.5</v>
      </c>
      <c r="L53" s="13">
        <f t="shared" si="12"/>
        <v>10</v>
      </c>
      <c r="M53" s="13">
        <f t="shared" si="13"/>
        <v>5</v>
      </c>
      <c r="N53" s="44">
        <f t="shared" si="14"/>
        <v>84.166666666666657</v>
      </c>
    </row>
    <row r="54" spans="1:14" x14ac:dyDescent="0.25">
      <c r="A54" s="13"/>
      <c r="B54" s="13">
        <f t="shared" si="15"/>
        <v>8.5</v>
      </c>
      <c r="C54" s="35">
        <v>10</v>
      </c>
      <c r="D54" s="35">
        <v>10</v>
      </c>
      <c r="E54" s="42">
        <v>10</v>
      </c>
      <c r="F54" s="31">
        <v>5</v>
      </c>
      <c r="G54" s="42">
        <v>10</v>
      </c>
      <c r="H54" s="42">
        <v>10</v>
      </c>
      <c r="I54" s="42">
        <v>10</v>
      </c>
      <c r="J54" s="13">
        <f t="shared" si="10"/>
        <v>5</v>
      </c>
      <c r="K54" s="29">
        <f t="shared" si="11"/>
        <v>7.5</v>
      </c>
      <c r="L54" s="13">
        <f t="shared" si="12"/>
        <v>10</v>
      </c>
      <c r="M54" s="13">
        <f t="shared" si="13"/>
        <v>5</v>
      </c>
      <c r="N54" s="44">
        <f t="shared" si="14"/>
        <v>84.166666666666657</v>
      </c>
    </row>
    <row r="55" spans="1:14" x14ac:dyDescent="0.25">
      <c r="A55" s="13"/>
      <c r="B55" s="13">
        <f t="shared" si="15"/>
        <v>8.5</v>
      </c>
      <c r="C55" s="35">
        <v>10</v>
      </c>
      <c r="D55" s="35">
        <v>10</v>
      </c>
      <c r="E55" s="42">
        <v>10</v>
      </c>
      <c r="F55" s="31">
        <v>5</v>
      </c>
      <c r="G55" s="42">
        <v>10</v>
      </c>
      <c r="H55" s="42">
        <v>10</v>
      </c>
      <c r="I55" s="42">
        <v>10</v>
      </c>
      <c r="J55" s="13">
        <f t="shared" si="10"/>
        <v>5</v>
      </c>
      <c r="K55" s="29">
        <f t="shared" si="11"/>
        <v>7.5</v>
      </c>
      <c r="L55" s="13">
        <f t="shared" si="12"/>
        <v>10</v>
      </c>
      <c r="M55" s="13">
        <f t="shared" si="13"/>
        <v>5</v>
      </c>
      <c r="N55" s="44">
        <f t="shared" si="14"/>
        <v>84.166666666666657</v>
      </c>
    </row>
    <row r="56" spans="1:14" x14ac:dyDescent="0.25">
      <c r="A56" s="13"/>
      <c r="B56" s="13"/>
      <c r="D56" s="13"/>
      <c r="E56" s="13"/>
      <c r="F56" s="29"/>
      <c r="G56" s="13"/>
      <c r="H56" s="13"/>
      <c r="I56" s="13"/>
      <c r="J56" s="13"/>
      <c r="K56" s="29"/>
      <c r="L56" s="13"/>
      <c r="M56" s="13"/>
      <c r="N56" s="44"/>
    </row>
    <row r="57" spans="1:14" x14ac:dyDescent="0.25">
      <c r="A57" s="13"/>
      <c r="B57" s="13">
        <f t="shared" ref="B57" si="16">AVERAGE(B34:B55)</f>
        <v>8.8181818181818183</v>
      </c>
      <c r="C57" s="13">
        <f>AVERAGE(C34:C55)</f>
        <v>9.2272727272727266</v>
      </c>
      <c r="D57" s="13">
        <f>AVERAGE(D34:D55)</f>
        <v>8.5</v>
      </c>
      <c r="E57" s="13">
        <f t="shared" ref="E57:I57" si="17">AVERAGE(E34:E55)</f>
        <v>9</v>
      </c>
      <c r="F57" s="29">
        <f t="shared" si="17"/>
        <v>7.4545454545454541</v>
      </c>
      <c r="G57" s="13">
        <f t="shared" si="17"/>
        <v>8.545454545454545</v>
      </c>
      <c r="H57" s="13">
        <f t="shared" si="17"/>
        <v>8.7272727272727266</v>
      </c>
      <c r="I57" s="13">
        <f t="shared" si="17"/>
        <v>9.3181818181818183</v>
      </c>
      <c r="J57" s="13">
        <f t="shared" ref="J57:K57" si="18">AVERAGE(J34:J55)</f>
        <v>7.4545454545454541</v>
      </c>
      <c r="K57" s="13">
        <f t="shared" si="18"/>
        <v>7.9090909090909092</v>
      </c>
      <c r="L57" s="13">
        <f t="shared" ref="L57:M57" si="19">AVERAGE(L34:L55)</f>
        <v>9.75</v>
      </c>
      <c r="M57" s="13">
        <f t="shared" si="19"/>
        <v>8.0909090909090917</v>
      </c>
      <c r="N57" s="44">
        <f>AVERAGE(N34:N55)</f>
        <v>85.662878787878796</v>
      </c>
    </row>
    <row r="58" spans="1:14" x14ac:dyDescent="0.25">
      <c r="A58" s="13"/>
      <c r="B58" s="13">
        <f t="shared" ref="B58" si="20">_xlfn.STDEV.S(B34:B55)</f>
        <v>1.3277752117685477</v>
      </c>
      <c r="C58" s="13">
        <f>_xlfn.STDEV.S(C34:C55)</f>
        <v>2.0686277526951953</v>
      </c>
      <c r="D58" s="13">
        <f>_xlfn.STDEV.S(D34:D55)</f>
        <v>2.5773740789526736</v>
      </c>
      <c r="E58" s="13">
        <f t="shared" ref="E58:I58" si="21">_xlfn.STDEV.S(E34:E55)</f>
        <v>1.5735915849388864</v>
      </c>
      <c r="F58" s="29">
        <f t="shared" si="21"/>
        <v>1.8446130766633431</v>
      </c>
      <c r="G58" s="13">
        <f t="shared" si="21"/>
        <v>2.2620528545732785</v>
      </c>
      <c r="H58" s="13">
        <f t="shared" si="21"/>
        <v>2.3336425274423331</v>
      </c>
      <c r="I58" s="13">
        <f t="shared" si="21"/>
        <v>2.0091780749342592</v>
      </c>
      <c r="J58" s="13">
        <f t="shared" ref="J58:K58" si="22">_xlfn.STDEV.S(J34:J55)</f>
        <v>1.8186146670912202</v>
      </c>
      <c r="K58" s="13">
        <f t="shared" si="22"/>
        <v>1.2501082204235598</v>
      </c>
      <c r="L58" s="13">
        <f t="shared" ref="L58:M58" si="23">_xlfn.STDEV.S(L34:L55)</f>
        <v>0.71962291712892446</v>
      </c>
      <c r="M58" s="13">
        <f t="shared" si="23"/>
        <v>2.0215291456172686</v>
      </c>
      <c r="N58" s="44">
        <f>_xlfn.STDEV.S(N34:N55)</f>
        <v>10.665022730236428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84E0-8F94-4D84-93FA-9162AA09C597}">
  <dimension ref="A1:AH58"/>
  <sheetViews>
    <sheetView topLeftCell="A43" workbookViewId="0">
      <selection activeCell="N58" sqref="N58"/>
    </sheetView>
  </sheetViews>
  <sheetFormatPr defaultRowHeight="12.5" x14ac:dyDescent="0.25"/>
  <cols>
    <col min="10" max="10" width="9.1796875" style="32"/>
    <col min="24" max="24" width="9.1796875" style="32"/>
  </cols>
  <sheetData>
    <row r="1" spans="1:25" x14ac:dyDescent="0.25">
      <c r="A1" s="36" t="s">
        <v>177</v>
      </c>
      <c r="B1" s="36" t="s">
        <v>178</v>
      </c>
      <c r="C1" s="36" t="s">
        <v>194</v>
      </c>
      <c r="D1" s="36" t="s">
        <v>204</v>
      </c>
      <c r="E1" s="22"/>
      <c r="F1" s="36" t="s">
        <v>196</v>
      </c>
      <c r="G1" s="36" t="s">
        <v>199</v>
      </c>
      <c r="H1" s="22"/>
      <c r="I1" t="s">
        <v>180</v>
      </c>
      <c r="J1" s="32" t="s">
        <v>206</v>
      </c>
      <c r="K1" t="s">
        <v>195</v>
      </c>
      <c r="L1" t="s">
        <v>197</v>
      </c>
      <c r="M1" t="s">
        <v>198</v>
      </c>
      <c r="N1" s="33" t="s">
        <v>203</v>
      </c>
      <c r="O1" s="33" t="s">
        <v>209</v>
      </c>
      <c r="P1" s="25"/>
      <c r="Q1" s="33" t="s">
        <v>179</v>
      </c>
      <c r="R1" s="33" t="s">
        <v>202</v>
      </c>
      <c r="S1" s="25"/>
      <c r="T1" s="33" t="s">
        <v>200</v>
      </c>
      <c r="U1" s="33" t="s">
        <v>201</v>
      </c>
      <c r="V1" s="25"/>
      <c r="W1" s="14" t="s">
        <v>212</v>
      </c>
      <c r="X1" s="29" t="s">
        <v>213</v>
      </c>
      <c r="Y1" s="22"/>
    </row>
    <row r="2" spans="1:25" x14ac:dyDescent="0.25">
      <c r="A2" s="37" t="s">
        <v>1</v>
      </c>
      <c r="B2" s="37" t="s">
        <v>3</v>
      </c>
      <c r="C2" s="37" t="s">
        <v>6</v>
      </c>
      <c r="D2" s="37" t="s">
        <v>16</v>
      </c>
      <c r="E2" s="23" t="s">
        <v>237</v>
      </c>
      <c r="F2" s="37" t="s">
        <v>183</v>
      </c>
      <c r="G2" s="37" t="s">
        <v>11</v>
      </c>
      <c r="H2" s="23" t="s">
        <v>238</v>
      </c>
      <c r="I2" s="1" t="s">
        <v>5</v>
      </c>
      <c r="J2" s="38" t="s">
        <v>18</v>
      </c>
      <c r="K2" s="1" t="s">
        <v>7</v>
      </c>
      <c r="L2" s="1" t="s">
        <v>9</v>
      </c>
      <c r="M2" s="1" t="s">
        <v>10</v>
      </c>
      <c r="N2" s="34" t="s">
        <v>15</v>
      </c>
      <c r="O2" s="34" t="s">
        <v>21</v>
      </c>
      <c r="P2" s="26" t="s">
        <v>239</v>
      </c>
      <c r="Q2" s="34" t="s">
        <v>4</v>
      </c>
      <c r="R2" s="34" t="s">
        <v>14</v>
      </c>
      <c r="S2" s="26" t="s">
        <v>240</v>
      </c>
      <c r="T2" s="39" t="s">
        <v>182</v>
      </c>
      <c r="U2" s="39" t="s">
        <v>181</v>
      </c>
      <c r="V2" s="27" t="s">
        <v>241</v>
      </c>
      <c r="W2" s="15" t="s">
        <v>24</v>
      </c>
      <c r="X2" s="30" t="s">
        <v>25</v>
      </c>
      <c r="Y2" s="28" t="s">
        <v>242</v>
      </c>
    </row>
    <row r="3" spans="1:25" x14ac:dyDescent="0.25">
      <c r="A3" s="35">
        <f>UsabilityScale!A3-1</f>
        <v>4</v>
      </c>
      <c r="B3" s="35">
        <f>UsabilityScale!B3-1</f>
        <v>6</v>
      </c>
      <c r="C3" s="35">
        <f>UsabilityScale!C3-1</f>
        <v>9</v>
      </c>
      <c r="D3" s="35">
        <f>UsabilityScale!D3-1</f>
        <v>9</v>
      </c>
      <c r="E3" s="22">
        <f>SUM(A3:D3)</f>
        <v>28</v>
      </c>
      <c r="F3" s="35">
        <f>UsabilityScale!F3-1</f>
        <v>9</v>
      </c>
      <c r="G3" s="35">
        <f>UsabilityScale!G3-1</f>
        <v>9</v>
      </c>
      <c r="H3" s="24">
        <f>SUM(F3:G3)</f>
        <v>18</v>
      </c>
      <c r="I3" s="35">
        <f>UsabilityScale!I3-1</f>
        <v>9</v>
      </c>
      <c r="J3" s="35">
        <f>UsabilityScale!J3-1</f>
        <v>6</v>
      </c>
      <c r="K3" s="35">
        <f>UsabilityScale!K3-1</f>
        <v>7</v>
      </c>
      <c r="L3" s="35">
        <f>UsabilityScale!L3-1</f>
        <v>6</v>
      </c>
      <c r="M3" s="35">
        <f>UsabilityScale!M3-1</f>
        <v>9</v>
      </c>
      <c r="N3" s="35">
        <f>UsabilityScale!N3-1</f>
        <v>7</v>
      </c>
      <c r="O3" s="35">
        <f>UsabilityScale!O3-1</f>
        <v>8</v>
      </c>
      <c r="P3" s="24">
        <f>SUM(N3:O3)</f>
        <v>15</v>
      </c>
      <c r="Q3" s="35">
        <f>UsabilityScale!Q3-1</f>
        <v>6</v>
      </c>
      <c r="R3" s="35">
        <f>UsabilityScale!R3-1</f>
        <v>9</v>
      </c>
      <c r="S3" s="24">
        <f>SUM(Q3:R3)</f>
        <v>15</v>
      </c>
      <c r="T3" s="35">
        <f>UsabilityScale!T3-1</f>
        <v>9</v>
      </c>
      <c r="U3" s="35">
        <f>UsabilityScale!U3-1</f>
        <v>9</v>
      </c>
      <c r="V3" s="24">
        <f>SUM(T3:U3)</f>
        <v>18</v>
      </c>
      <c r="W3" s="35">
        <f>UsabilityScale!W3-1</f>
        <v>9</v>
      </c>
      <c r="X3" s="35">
        <f>UsabilityScale!X3-1</f>
        <v>9</v>
      </c>
      <c r="Y3" s="22">
        <f>SUM(W3:X3)</f>
        <v>18</v>
      </c>
    </row>
    <row r="4" spans="1:25" x14ac:dyDescent="0.25">
      <c r="A4" s="35">
        <f>UsabilityScale!A4-1</f>
        <v>7</v>
      </c>
      <c r="B4" s="35">
        <f>UsabilityScale!B4-1</f>
        <v>5</v>
      </c>
      <c r="C4" s="35">
        <f>UsabilityScale!C4-1</f>
        <v>9</v>
      </c>
      <c r="D4" s="35">
        <f>UsabilityScale!D4-1</f>
        <v>9</v>
      </c>
      <c r="E4" s="22">
        <f t="shared" ref="E4:E24" si="0">SUM(A4:D4)</f>
        <v>30</v>
      </c>
      <c r="F4" s="35">
        <f>UsabilityScale!F4-1</f>
        <v>6</v>
      </c>
      <c r="G4" s="35">
        <f>UsabilityScale!G4-1</f>
        <v>9</v>
      </c>
      <c r="H4" s="24">
        <f t="shared" ref="H4:H24" si="1">SUM(F4:G4)</f>
        <v>15</v>
      </c>
      <c r="I4" s="35">
        <f>UsabilityScale!I4-1</f>
        <v>5</v>
      </c>
      <c r="J4" s="35">
        <f>UsabilityScale!J4-1</f>
        <v>8</v>
      </c>
      <c r="K4" s="35">
        <f>UsabilityScale!K4-1</f>
        <v>8</v>
      </c>
      <c r="L4" s="35">
        <f>UsabilityScale!L4-1</f>
        <v>6</v>
      </c>
      <c r="M4" s="35">
        <f>UsabilityScale!M4-1</f>
        <v>9</v>
      </c>
      <c r="N4" s="35">
        <f>UsabilityScale!N4-1</f>
        <v>9</v>
      </c>
      <c r="O4" s="35">
        <f>UsabilityScale!O4-1</f>
        <v>6</v>
      </c>
      <c r="P4" s="24">
        <f t="shared" ref="P4:P24" si="2">SUM(N4:O4)</f>
        <v>15</v>
      </c>
      <c r="Q4" s="35">
        <f>UsabilityScale!Q4-1</f>
        <v>9</v>
      </c>
      <c r="R4" s="35">
        <f>UsabilityScale!R4-1</f>
        <v>9</v>
      </c>
      <c r="S4" s="24">
        <f t="shared" ref="S4:S24" si="3">SUM(Q4:R4)</f>
        <v>18</v>
      </c>
      <c r="T4" s="35">
        <f>UsabilityScale!T4-1</f>
        <v>9</v>
      </c>
      <c r="U4" s="35">
        <f>UsabilityScale!U4-1</f>
        <v>7</v>
      </c>
      <c r="V4" s="24">
        <f t="shared" ref="V4:V24" si="4">SUM(T4:U4)</f>
        <v>16</v>
      </c>
      <c r="W4" s="35">
        <f>UsabilityScale!W4-1</f>
        <v>9</v>
      </c>
      <c r="X4" s="35">
        <f>UsabilityScale!X4-1</f>
        <v>7</v>
      </c>
      <c r="Y4" s="22">
        <f t="shared" ref="Y4:Y24" si="5">SUM(W4:X4)</f>
        <v>16</v>
      </c>
    </row>
    <row r="5" spans="1:25" x14ac:dyDescent="0.25">
      <c r="A5" s="35">
        <f>UsabilityScale!A5-1</f>
        <v>2</v>
      </c>
      <c r="B5" s="35">
        <f>UsabilityScale!B5-1</f>
        <v>3</v>
      </c>
      <c r="C5" s="35">
        <f>UsabilityScale!C5-1</f>
        <v>8</v>
      </c>
      <c r="D5" s="35">
        <f>UsabilityScale!D5-1</f>
        <v>1</v>
      </c>
      <c r="E5" s="22">
        <f t="shared" si="0"/>
        <v>14</v>
      </c>
      <c r="F5" s="35">
        <f>UsabilityScale!F5-1</f>
        <v>2</v>
      </c>
      <c r="G5" s="35">
        <f>UsabilityScale!G5-1</f>
        <v>5</v>
      </c>
      <c r="H5" s="24">
        <f t="shared" si="1"/>
        <v>7</v>
      </c>
      <c r="I5" s="35">
        <f>UsabilityScale!I5-1</f>
        <v>5</v>
      </c>
      <c r="J5" s="35">
        <f>UsabilityScale!J5-1</f>
        <v>8</v>
      </c>
      <c r="K5" s="35">
        <f>UsabilityScale!K5-1</f>
        <v>3</v>
      </c>
      <c r="L5" s="35">
        <f>UsabilityScale!L5-1</f>
        <v>3</v>
      </c>
      <c r="M5" s="35">
        <f>UsabilityScale!M5-1</f>
        <v>6</v>
      </c>
      <c r="N5" s="35">
        <f>UsabilityScale!N5-1</f>
        <v>6</v>
      </c>
      <c r="O5" s="35">
        <f>UsabilityScale!O5-1</f>
        <v>4</v>
      </c>
      <c r="P5" s="24">
        <f t="shared" si="2"/>
        <v>10</v>
      </c>
      <c r="Q5" s="35">
        <f>UsabilityScale!Q5-1</f>
        <v>7</v>
      </c>
      <c r="R5" s="35">
        <f>UsabilityScale!R5-1</f>
        <v>8</v>
      </c>
      <c r="S5" s="24">
        <f t="shared" si="3"/>
        <v>15</v>
      </c>
      <c r="T5" s="35">
        <f>UsabilityScale!T5-1</f>
        <v>9</v>
      </c>
      <c r="U5" s="35">
        <f>UsabilityScale!U5-1</f>
        <v>3</v>
      </c>
      <c r="V5" s="24">
        <f t="shared" si="4"/>
        <v>12</v>
      </c>
      <c r="W5" s="35">
        <f>UsabilityScale!W5-1</f>
        <v>9</v>
      </c>
      <c r="X5" s="35">
        <f>UsabilityScale!X5-1</f>
        <v>7</v>
      </c>
      <c r="Y5" s="22">
        <f t="shared" si="5"/>
        <v>16</v>
      </c>
    </row>
    <row r="6" spans="1:25" x14ac:dyDescent="0.25">
      <c r="A6" s="35">
        <f>UsabilityScale!A6-1</f>
        <v>8</v>
      </c>
      <c r="B6" s="35">
        <f>UsabilityScale!B6-1</f>
        <v>9</v>
      </c>
      <c r="C6" s="35">
        <f>UsabilityScale!C6-1</f>
        <v>9</v>
      </c>
      <c r="D6" s="35">
        <f>UsabilityScale!D6-1</f>
        <v>9</v>
      </c>
      <c r="E6" s="22">
        <f t="shared" si="0"/>
        <v>35</v>
      </c>
      <c r="F6" s="35">
        <f>UsabilityScale!F6-1</f>
        <v>5</v>
      </c>
      <c r="G6" s="35">
        <f>UsabilityScale!G6-1</f>
        <v>9</v>
      </c>
      <c r="H6" s="24">
        <f t="shared" si="1"/>
        <v>14</v>
      </c>
      <c r="I6" s="35">
        <f>UsabilityScale!I6-1</f>
        <v>9</v>
      </c>
      <c r="J6" s="35">
        <f>UsabilityScale!J6-1</f>
        <v>8</v>
      </c>
      <c r="K6" s="35">
        <f>UsabilityScale!K6-1</f>
        <v>6</v>
      </c>
      <c r="L6" s="35">
        <f>UsabilityScale!L6-1</f>
        <v>9</v>
      </c>
      <c r="M6" s="35">
        <f>UsabilityScale!M6-1</f>
        <v>9</v>
      </c>
      <c r="N6" s="35">
        <f>UsabilityScale!N6-1</f>
        <v>7</v>
      </c>
      <c r="O6" s="35">
        <f>UsabilityScale!O6-1</f>
        <v>5</v>
      </c>
      <c r="P6" s="24">
        <f t="shared" si="2"/>
        <v>12</v>
      </c>
      <c r="Q6" s="35">
        <f>UsabilityScale!Q6-1</f>
        <v>6</v>
      </c>
      <c r="R6" s="35">
        <f>UsabilityScale!R6-1</f>
        <v>8</v>
      </c>
      <c r="S6" s="24">
        <f t="shared" si="3"/>
        <v>14</v>
      </c>
      <c r="T6" s="35">
        <f>UsabilityScale!T6-1</f>
        <v>9</v>
      </c>
      <c r="U6" s="35">
        <f>UsabilityScale!U6-1</f>
        <v>9</v>
      </c>
      <c r="V6" s="24">
        <f t="shared" si="4"/>
        <v>18</v>
      </c>
      <c r="W6" s="35">
        <f>UsabilityScale!W6-1</f>
        <v>9</v>
      </c>
      <c r="X6" s="35">
        <f>UsabilityScale!X6-1</f>
        <v>9</v>
      </c>
      <c r="Y6" s="22">
        <f t="shared" si="5"/>
        <v>18</v>
      </c>
    </row>
    <row r="7" spans="1:25" x14ac:dyDescent="0.25">
      <c r="A7" s="35">
        <f>UsabilityScale!A7-1</f>
        <v>7</v>
      </c>
      <c r="B7" s="35">
        <f>UsabilityScale!B7-1</f>
        <v>6</v>
      </c>
      <c r="C7" s="35">
        <f>UsabilityScale!C7-1</f>
        <v>9</v>
      </c>
      <c r="D7" s="35">
        <f>UsabilityScale!D7-1</f>
        <v>9</v>
      </c>
      <c r="E7" s="22">
        <f t="shared" si="0"/>
        <v>31</v>
      </c>
      <c r="F7" s="35">
        <f>UsabilityScale!F7-1</f>
        <v>9</v>
      </c>
      <c r="G7" s="35">
        <f>UsabilityScale!G7-1</f>
        <v>9</v>
      </c>
      <c r="H7" s="24">
        <f t="shared" si="1"/>
        <v>18</v>
      </c>
      <c r="I7" s="35">
        <f>UsabilityScale!I7-1</f>
        <v>9</v>
      </c>
      <c r="J7" s="35">
        <f>UsabilityScale!J7-1</f>
        <v>8</v>
      </c>
      <c r="K7" s="35">
        <f>UsabilityScale!K7-1</f>
        <v>7</v>
      </c>
      <c r="L7" s="35">
        <f>UsabilityScale!L7-1</f>
        <v>9</v>
      </c>
      <c r="M7" s="35">
        <f>UsabilityScale!M7-1</f>
        <v>9</v>
      </c>
      <c r="N7" s="35">
        <f>UsabilityScale!N7-1</f>
        <v>6</v>
      </c>
      <c r="O7" s="35">
        <f>UsabilityScale!O7-1</f>
        <v>9</v>
      </c>
      <c r="P7" s="24">
        <f t="shared" si="2"/>
        <v>15</v>
      </c>
      <c r="Q7" s="35">
        <f>UsabilityScale!Q7-1</f>
        <v>4</v>
      </c>
      <c r="R7" s="35">
        <f>UsabilityScale!R7-1</f>
        <v>8</v>
      </c>
      <c r="S7" s="24">
        <f t="shared" si="3"/>
        <v>12</v>
      </c>
      <c r="T7" s="35">
        <f>UsabilityScale!T7-1</f>
        <v>9</v>
      </c>
      <c r="U7" s="35">
        <f>UsabilityScale!U7-1</f>
        <v>9</v>
      </c>
      <c r="V7" s="24">
        <f t="shared" si="4"/>
        <v>18</v>
      </c>
      <c r="W7" s="35">
        <f>UsabilityScale!W7-1</f>
        <v>9</v>
      </c>
      <c r="X7" s="35">
        <f>UsabilityScale!X7-1</f>
        <v>7</v>
      </c>
      <c r="Y7" s="22">
        <f t="shared" si="5"/>
        <v>16</v>
      </c>
    </row>
    <row r="8" spans="1:25" x14ac:dyDescent="0.25">
      <c r="A8" s="35">
        <f>UsabilityScale!A8-1</f>
        <v>9</v>
      </c>
      <c r="B8" s="35">
        <f>UsabilityScale!B8-1</f>
        <v>9</v>
      </c>
      <c r="C8" s="35">
        <f>UsabilityScale!C8-1</f>
        <v>9</v>
      </c>
      <c r="D8" s="35">
        <f>UsabilityScale!D8-1</f>
        <v>9</v>
      </c>
      <c r="E8" s="22">
        <f t="shared" si="0"/>
        <v>36</v>
      </c>
      <c r="F8" s="35">
        <f>UsabilityScale!F8-1</f>
        <v>9</v>
      </c>
      <c r="G8" s="35">
        <f>UsabilityScale!G8-1</f>
        <v>9</v>
      </c>
      <c r="H8" s="24">
        <f t="shared" si="1"/>
        <v>18</v>
      </c>
      <c r="I8" s="35">
        <f>UsabilityScale!I8-1</f>
        <v>9</v>
      </c>
      <c r="J8" s="35">
        <f>UsabilityScale!J8-1</f>
        <v>7</v>
      </c>
      <c r="K8" s="35">
        <f>UsabilityScale!K8-1</f>
        <v>9</v>
      </c>
      <c r="L8" s="35">
        <f>UsabilityScale!L8-1</f>
        <v>9</v>
      </c>
      <c r="M8" s="35">
        <f>UsabilityScale!M8-1</f>
        <v>9</v>
      </c>
      <c r="N8" s="35">
        <f>UsabilityScale!N8-1</f>
        <v>8</v>
      </c>
      <c r="O8" s="35">
        <f>UsabilityScale!O8-1</f>
        <v>9</v>
      </c>
      <c r="P8" s="24">
        <f t="shared" si="2"/>
        <v>17</v>
      </c>
      <c r="Q8" s="35">
        <f>UsabilityScale!Q8-1</f>
        <v>9</v>
      </c>
      <c r="R8" s="35">
        <f>UsabilityScale!R8-1</f>
        <v>9</v>
      </c>
      <c r="S8" s="24">
        <f t="shared" si="3"/>
        <v>18</v>
      </c>
      <c r="T8" s="35">
        <f>UsabilityScale!T8-1</f>
        <v>9</v>
      </c>
      <c r="U8" s="35">
        <f>UsabilityScale!U8-1</f>
        <v>9</v>
      </c>
      <c r="V8" s="24">
        <f t="shared" si="4"/>
        <v>18</v>
      </c>
      <c r="W8" s="35">
        <f>UsabilityScale!W8-1</f>
        <v>9</v>
      </c>
      <c r="X8" s="35">
        <f>UsabilityScale!X8-1</f>
        <v>5</v>
      </c>
      <c r="Y8" s="22">
        <f t="shared" si="5"/>
        <v>14</v>
      </c>
    </row>
    <row r="9" spans="1:25" x14ac:dyDescent="0.25">
      <c r="A9" s="35">
        <f>UsabilityScale!A9-1</f>
        <v>8</v>
      </c>
      <c r="B9" s="35">
        <f>UsabilityScale!B9-1</f>
        <v>9</v>
      </c>
      <c r="C9" s="35">
        <f>UsabilityScale!C9-1</f>
        <v>9</v>
      </c>
      <c r="D9" s="35">
        <f>UsabilityScale!D9-1</f>
        <v>9</v>
      </c>
      <c r="E9" s="22">
        <f t="shared" si="0"/>
        <v>35</v>
      </c>
      <c r="F9" s="35">
        <f>UsabilityScale!F9-1</f>
        <v>9</v>
      </c>
      <c r="G9" s="35">
        <f>UsabilityScale!G9-1</f>
        <v>9</v>
      </c>
      <c r="H9" s="24">
        <f t="shared" si="1"/>
        <v>18</v>
      </c>
      <c r="I9" s="35">
        <f>UsabilityScale!I9-1</f>
        <v>9</v>
      </c>
      <c r="J9" s="35">
        <f>UsabilityScale!J9-1</f>
        <v>6</v>
      </c>
      <c r="K9" s="35">
        <f>UsabilityScale!K9-1</f>
        <v>9</v>
      </c>
      <c r="L9" s="35">
        <f>UsabilityScale!L9-1</f>
        <v>8</v>
      </c>
      <c r="M9" s="35">
        <f>UsabilityScale!M9-1</f>
        <v>9</v>
      </c>
      <c r="N9" s="35">
        <f>UsabilityScale!N9-1</f>
        <v>8</v>
      </c>
      <c r="O9" s="35">
        <f>UsabilityScale!O9-1</f>
        <v>9</v>
      </c>
      <c r="P9" s="24">
        <f t="shared" si="2"/>
        <v>17</v>
      </c>
      <c r="Q9" s="35">
        <f>UsabilityScale!Q9-1</f>
        <v>9</v>
      </c>
      <c r="R9" s="35">
        <f>UsabilityScale!R9-1</f>
        <v>7</v>
      </c>
      <c r="S9" s="24">
        <f t="shared" si="3"/>
        <v>16</v>
      </c>
      <c r="T9" s="35">
        <f>UsabilityScale!T9-1</f>
        <v>9</v>
      </c>
      <c r="U9" s="35">
        <f>UsabilityScale!U9-1</f>
        <v>9</v>
      </c>
      <c r="V9" s="24">
        <f t="shared" si="4"/>
        <v>18</v>
      </c>
      <c r="W9" s="35">
        <f>UsabilityScale!W9-1</f>
        <v>9</v>
      </c>
      <c r="X9" s="35">
        <f>UsabilityScale!X9-1</f>
        <v>9</v>
      </c>
      <c r="Y9" s="22">
        <f t="shared" si="5"/>
        <v>18</v>
      </c>
    </row>
    <row r="10" spans="1:25" x14ac:dyDescent="0.25">
      <c r="A10" s="35">
        <f>UsabilityScale!A10-1</f>
        <v>4</v>
      </c>
      <c r="B10" s="35">
        <f>UsabilityScale!B10-1</f>
        <v>9</v>
      </c>
      <c r="C10" s="35">
        <f>UsabilityScale!C10-1</f>
        <v>0</v>
      </c>
      <c r="D10" s="35">
        <f>UsabilityScale!D10-1</f>
        <v>9</v>
      </c>
      <c r="E10" s="22">
        <f t="shared" si="0"/>
        <v>22</v>
      </c>
      <c r="F10" s="35">
        <f>UsabilityScale!F10-1</f>
        <v>0</v>
      </c>
      <c r="G10" s="35">
        <f>UsabilityScale!G10-1</f>
        <v>9</v>
      </c>
      <c r="H10" s="24">
        <f t="shared" si="1"/>
        <v>9</v>
      </c>
      <c r="I10" s="35">
        <f>UsabilityScale!I10-1</f>
        <v>7</v>
      </c>
      <c r="J10" s="35">
        <f>UsabilityScale!J10-1</f>
        <v>8</v>
      </c>
      <c r="K10" s="35">
        <f>UsabilityScale!K10-1</f>
        <v>0</v>
      </c>
      <c r="L10" s="35">
        <f>UsabilityScale!L10-1</f>
        <v>0</v>
      </c>
      <c r="M10" s="35">
        <f>UsabilityScale!M10-1</f>
        <v>9</v>
      </c>
      <c r="N10" s="35">
        <f>UsabilityScale!N10-1</f>
        <v>7</v>
      </c>
      <c r="O10" s="35">
        <f>UsabilityScale!O10-1</f>
        <v>6</v>
      </c>
      <c r="P10" s="24">
        <f t="shared" si="2"/>
        <v>13</v>
      </c>
      <c r="Q10" s="35">
        <f>UsabilityScale!Q10-1</f>
        <v>4</v>
      </c>
      <c r="R10" s="35">
        <f>UsabilityScale!R10-1</f>
        <v>8</v>
      </c>
      <c r="S10" s="24">
        <f t="shared" si="3"/>
        <v>12</v>
      </c>
      <c r="T10" s="35">
        <f>UsabilityScale!T10-1</f>
        <v>9</v>
      </c>
      <c r="U10" s="35">
        <f>UsabilityScale!U10-1</f>
        <v>9</v>
      </c>
      <c r="V10" s="24">
        <f t="shared" si="4"/>
        <v>18</v>
      </c>
      <c r="W10" s="35">
        <f>UsabilityScale!W10-1</f>
        <v>9</v>
      </c>
      <c r="X10" s="35">
        <f>UsabilityScale!X10-1</f>
        <v>7</v>
      </c>
      <c r="Y10" s="22">
        <f t="shared" si="5"/>
        <v>16</v>
      </c>
    </row>
    <row r="11" spans="1:25" x14ac:dyDescent="0.25">
      <c r="A11" s="35">
        <f>UsabilityScale!A11-1</f>
        <v>5</v>
      </c>
      <c r="B11" s="35">
        <f>UsabilityScale!B11-1</f>
        <v>9</v>
      </c>
      <c r="C11" s="35">
        <f>UsabilityScale!C11-1</f>
        <v>8</v>
      </c>
      <c r="D11" s="35">
        <f>UsabilityScale!D11-1</f>
        <v>9</v>
      </c>
      <c r="E11" s="22">
        <f t="shared" si="0"/>
        <v>31</v>
      </c>
      <c r="F11" s="35">
        <f>UsabilityScale!F11-1</f>
        <v>7</v>
      </c>
      <c r="G11" s="35">
        <f>UsabilityScale!G11-1</f>
        <v>9</v>
      </c>
      <c r="H11" s="24">
        <f t="shared" si="1"/>
        <v>16</v>
      </c>
      <c r="I11" s="35">
        <f>UsabilityScale!I11-1</f>
        <v>7</v>
      </c>
      <c r="J11" s="35">
        <f>UsabilityScale!J11-1</f>
        <v>8</v>
      </c>
      <c r="K11" s="35">
        <f>UsabilityScale!K11-1</f>
        <v>8</v>
      </c>
      <c r="L11" s="35">
        <f>UsabilityScale!L11-1</f>
        <v>7</v>
      </c>
      <c r="M11" s="35">
        <f>UsabilityScale!M11-1</f>
        <v>8</v>
      </c>
      <c r="N11" s="35">
        <f>UsabilityScale!N11-1</f>
        <v>8</v>
      </c>
      <c r="O11" s="35">
        <f>UsabilityScale!O11-1</f>
        <v>6</v>
      </c>
      <c r="P11" s="24">
        <f t="shared" si="2"/>
        <v>14</v>
      </c>
      <c r="Q11" s="35">
        <f>UsabilityScale!Q11-1</f>
        <v>7</v>
      </c>
      <c r="R11" s="35">
        <f>UsabilityScale!R11-1</f>
        <v>8</v>
      </c>
      <c r="S11" s="24">
        <f t="shared" si="3"/>
        <v>15</v>
      </c>
      <c r="T11" s="35">
        <f>UsabilityScale!T11-1</f>
        <v>9</v>
      </c>
      <c r="U11" s="35">
        <f>UsabilityScale!U11-1</f>
        <v>9</v>
      </c>
      <c r="V11" s="24">
        <f t="shared" si="4"/>
        <v>18</v>
      </c>
      <c r="W11" s="35">
        <f>UsabilityScale!W11-1</f>
        <v>9</v>
      </c>
      <c r="X11" s="35">
        <f>UsabilityScale!X11-1</f>
        <v>7</v>
      </c>
      <c r="Y11" s="22">
        <f t="shared" si="5"/>
        <v>16</v>
      </c>
    </row>
    <row r="12" spans="1:25" x14ac:dyDescent="0.25">
      <c r="A12" s="35">
        <f>UsabilityScale!A12-1</f>
        <v>9</v>
      </c>
      <c r="B12" s="35">
        <f>UsabilityScale!B12-1</f>
        <v>9</v>
      </c>
      <c r="C12" s="35">
        <f>UsabilityScale!C12-1</f>
        <v>9</v>
      </c>
      <c r="D12" s="35">
        <f>UsabilityScale!D12-1</f>
        <v>9</v>
      </c>
      <c r="E12" s="22">
        <f t="shared" si="0"/>
        <v>36</v>
      </c>
      <c r="F12" s="35">
        <f>UsabilityScale!F12-1</f>
        <v>9</v>
      </c>
      <c r="G12" s="35">
        <f>UsabilityScale!G12-1</f>
        <v>9</v>
      </c>
      <c r="H12" s="24">
        <f t="shared" si="1"/>
        <v>18</v>
      </c>
      <c r="I12" s="35">
        <f>UsabilityScale!I12-1</f>
        <v>7</v>
      </c>
      <c r="J12" s="35">
        <f>UsabilityScale!J12-1</f>
        <v>6</v>
      </c>
      <c r="K12" s="35">
        <f>UsabilityScale!K12-1</f>
        <v>9</v>
      </c>
      <c r="L12" s="35">
        <f>UsabilityScale!L12-1</f>
        <v>9</v>
      </c>
      <c r="M12" s="35">
        <f>UsabilityScale!M12-1</f>
        <v>9</v>
      </c>
      <c r="N12" s="35">
        <f>UsabilityScale!N12-1</f>
        <v>9</v>
      </c>
      <c r="O12" s="35">
        <f>UsabilityScale!O12-1</f>
        <v>9</v>
      </c>
      <c r="P12" s="24">
        <f t="shared" si="2"/>
        <v>18</v>
      </c>
      <c r="Q12" s="35">
        <f>UsabilityScale!Q12-1</f>
        <v>6</v>
      </c>
      <c r="R12" s="35">
        <f>UsabilityScale!R12-1</f>
        <v>8</v>
      </c>
      <c r="S12" s="24">
        <f t="shared" si="3"/>
        <v>14</v>
      </c>
      <c r="T12" s="35">
        <f>UsabilityScale!T12-1</f>
        <v>9</v>
      </c>
      <c r="U12" s="35">
        <f>UsabilityScale!U12-1</f>
        <v>9</v>
      </c>
      <c r="V12" s="24">
        <f t="shared" si="4"/>
        <v>18</v>
      </c>
      <c r="W12" s="35">
        <f>UsabilityScale!W12-1</f>
        <v>9</v>
      </c>
      <c r="X12" s="35">
        <f>UsabilityScale!X12-1</f>
        <v>9</v>
      </c>
      <c r="Y12" s="22">
        <f t="shared" si="5"/>
        <v>18</v>
      </c>
    </row>
    <row r="13" spans="1:25" x14ac:dyDescent="0.25">
      <c r="A13" s="35">
        <f>UsabilityScale!A13-1</f>
        <v>4</v>
      </c>
      <c r="B13" s="35">
        <f>UsabilityScale!B13-1</f>
        <v>9</v>
      </c>
      <c r="C13" s="35">
        <f>UsabilityScale!C13-1</f>
        <v>7</v>
      </c>
      <c r="D13" s="35">
        <f>UsabilityScale!D13-1</f>
        <v>9</v>
      </c>
      <c r="E13" s="22">
        <f t="shared" si="0"/>
        <v>29</v>
      </c>
      <c r="F13" s="35">
        <f>UsabilityScale!F13-1</f>
        <v>8</v>
      </c>
      <c r="G13" s="35">
        <f>UsabilityScale!G13-1</f>
        <v>7</v>
      </c>
      <c r="H13" s="24">
        <f t="shared" si="1"/>
        <v>15</v>
      </c>
      <c r="I13" s="35">
        <f>UsabilityScale!I13-1</f>
        <v>7</v>
      </c>
      <c r="J13" s="35">
        <f>UsabilityScale!J13-1</f>
        <v>6</v>
      </c>
      <c r="K13" s="35">
        <f>UsabilityScale!K13-1</f>
        <v>8</v>
      </c>
      <c r="L13" s="35">
        <f>UsabilityScale!L13-1</f>
        <v>8</v>
      </c>
      <c r="M13" s="35">
        <f>UsabilityScale!M13-1</f>
        <v>7</v>
      </c>
      <c r="N13" s="35">
        <f>UsabilityScale!N13-1</f>
        <v>6</v>
      </c>
      <c r="O13" s="35">
        <f>UsabilityScale!O13-1</f>
        <v>7</v>
      </c>
      <c r="P13" s="24">
        <f t="shared" si="2"/>
        <v>13</v>
      </c>
      <c r="Q13" s="35">
        <f>UsabilityScale!Q13-1</f>
        <v>4</v>
      </c>
      <c r="R13" s="35">
        <f>UsabilityScale!R13-1</f>
        <v>8</v>
      </c>
      <c r="S13" s="24">
        <f t="shared" si="3"/>
        <v>12</v>
      </c>
      <c r="T13" s="35">
        <f>UsabilityScale!T13-1</f>
        <v>9</v>
      </c>
      <c r="U13" s="35">
        <f>UsabilityScale!U13-1</f>
        <v>9</v>
      </c>
      <c r="V13" s="24">
        <f t="shared" si="4"/>
        <v>18</v>
      </c>
      <c r="W13" s="35">
        <f>UsabilityScale!W13-1</f>
        <v>7</v>
      </c>
      <c r="X13" s="35">
        <f>UsabilityScale!X13-1</f>
        <v>7</v>
      </c>
      <c r="Y13" s="22">
        <f t="shared" si="5"/>
        <v>14</v>
      </c>
    </row>
    <row r="14" spans="1:25" x14ac:dyDescent="0.25">
      <c r="A14" s="35">
        <f>UsabilityScale!A14-1</f>
        <v>9</v>
      </c>
      <c r="B14" s="35">
        <f>UsabilityScale!B14-1</f>
        <v>9</v>
      </c>
      <c r="C14" s="35">
        <f>UsabilityScale!C14-1</f>
        <v>9</v>
      </c>
      <c r="D14" s="35">
        <f>UsabilityScale!D14-1</f>
        <v>9</v>
      </c>
      <c r="E14" s="22">
        <f t="shared" si="0"/>
        <v>36</v>
      </c>
      <c r="F14" s="35">
        <f>UsabilityScale!F14-1</f>
        <v>7</v>
      </c>
      <c r="G14" s="35">
        <f>UsabilityScale!G14-1</f>
        <v>9</v>
      </c>
      <c r="H14" s="24">
        <f t="shared" si="1"/>
        <v>16</v>
      </c>
      <c r="I14" s="35">
        <f>UsabilityScale!I14-1</f>
        <v>9</v>
      </c>
      <c r="J14" s="35">
        <f>UsabilityScale!J14-1</f>
        <v>8</v>
      </c>
      <c r="K14" s="35">
        <f>UsabilityScale!K14-1</f>
        <v>7</v>
      </c>
      <c r="L14" s="35">
        <f>UsabilityScale!L14-1</f>
        <v>9</v>
      </c>
      <c r="M14" s="35">
        <f>UsabilityScale!M14-1</f>
        <v>9</v>
      </c>
      <c r="N14" s="35">
        <f>UsabilityScale!N14-1</f>
        <v>8</v>
      </c>
      <c r="O14" s="35">
        <f>UsabilityScale!O14-1</f>
        <v>9</v>
      </c>
      <c r="P14" s="24">
        <f t="shared" si="2"/>
        <v>17</v>
      </c>
      <c r="Q14" s="35">
        <f>UsabilityScale!Q14-1</f>
        <v>7</v>
      </c>
      <c r="R14" s="35">
        <f>UsabilityScale!R14-1</f>
        <v>8</v>
      </c>
      <c r="S14" s="24">
        <f t="shared" si="3"/>
        <v>15</v>
      </c>
      <c r="T14" s="35">
        <f>UsabilityScale!T14-1</f>
        <v>9</v>
      </c>
      <c r="U14" s="35">
        <f>UsabilityScale!U14-1</f>
        <v>9</v>
      </c>
      <c r="V14" s="24">
        <f t="shared" si="4"/>
        <v>18</v>
      </c>
      <c r="W14" s="35">
        <f>UsabilityScale!W14-1</f>
        <v>9</v>
      </c>
      <c r="X14" s="35">
        <f>UsabilityScale!X14-1</f>
        <v>7</v>
      </c>
      <c r="Y14" s="22">
        <f t="shared" si="5"/>
        <v>16</v>
      </c>
    </row>
    <row r="15" spans="1:25" x14ac:dyDescent="0.25">
      <c r="A15" s="35">
        <f>UsabilityScale!A15-1</f>
        <v>7</v>
      </c>
      <c r="B15" s="35">
        <f>UsabilityScale!B15-1</f>
        <v>9</v>
      </c>
      <c r="C15" s="35">
        <f>UsabilityScale!C15-1</f>
        <v>9</v>
      </c>
      <c r="D15" s="35">
        <f>UsabilityScale!D15-1</f>
        <v>9</v>
      </c>
      <c r="E15" s="22">
        <f t="shared" si="0"/>
        <v>34</v>
      </c>
      <c r="F15" s="35">
        <f>UsabilityScale!F15-1</f>
        <v>9</v>
      </c>
      <c r="G15" s="35">
        <f>UsabilityScale!G15-1</f>
        <v>9</v>
      </c>
      <c r="H15" s="24">
        <f t="shared" si="1"/>
        <v>18</v>
      </c>
      <c r="I15" s="35">
        <f>UsabilityScale!I15-1</f>
        <v>9</v>
      </c>
      <c r="J15" s="35">
        <f>UsabilityScale!J15-1</f>
        <v>8</v>
      </c>
      <c r="K15" s="35">
        <f>UsabilityScale!K15-1</f>
        <v>9</v>
      </c>
      <c r="L15" s="35">
        <f>UsabilityScale!L15-1</f>
        <v>9</v>
      </c>
      <c r="M15" s="35">
        <f>UsabilityScale!M15-1</f>
        <v>9</v>
      </c>
      <c r="N15" s="35">
        <f>UsabilityScale!N15-1</f>
        <v>8</v>
      </c>
      <c r="O15" s="35">
        <f>UsabilityScale!O15-1</f>
        <v>9</v>
      </c>
      <c r="P15" s="24">
        <f t="shared" si="2"/>
        <v>17</v>
      </c>
      <c r="Q15" s="35">
        <f>UsabilityScale!Q15-1</f>
        <v>7</v>
      </c>
      <c r="R15" s="35">
        <f>UsabilityScale!R15-1</f>
        <v>6</v>
      </c>
      <c r="S15" s="24">
        <f t="shared" si="3"/>
        <v>13</v>
      </c>
      <c r="T15" s="35">
        <f>UsabilityScale!T15-1</f>
        <v>9</v>
      </c>
      <c r="U15" s="35">
        <f>UsabilityScale!U15-1</f>
        <v>9</v>
      </c>
      <c r="V15" s="24">
        <f t="shared" si="4"/>
        <v>18</v>
      </c>
      <c r="W15" s="35">
        <f>UsabilityScale!W15-1</f>
        <v>9</v>
      </c>
      <c r="X15" s="35">
        <f>UsabilityScale!X15-1</f>
        <v>7</v>
      </c>
      <c r="Y15" s="22">
        <f t="shared" si="5"/>
        <v>16</v>
      </c>
    </row>
    <row r="16" spans="1:25" x14ac:dyDescent="0.25">
      <c r="A16" s="35">
        <f>UsabilityScale!A16-1</f>
        <v>9</v>
      </c>
      <c r="B16" s="35">
        <f>UsabilityScale!B16-1</f>
        <v>8</v>
      </c>
      <c r="C16" s="35">
        <f>UsabilityScale!C16-1</f>
        <v>9</v>
      </c>
      <c r="D16" s="35">
        <f>UsabilityScale!D16-1</f>
        <v>9</v>
      </c>
      <c r="E16" s="22">
        <f t="shared" si="0"/>
        <v>35</v>
      </c>
      <c r="F16" s="35">
        <f>UsabilityScale!F16-1</f>
        <v>9</v>
      </c>
      <c r="G16" s="35">
        <f>UsabilityScale!G16-1</f>
        <v>9</v>
      </c>
      <c r="H16" s="24">
        <f t="shared" si="1"/>
        <v>18</v>
      </c>
      <c r="I16" s="35">
        <f>UsabilityScale!I16-1</f>
        <v>8</v>
      </c>
      <c r="J16" s="35">
        <f>UsabilityScale!J16-1</f>
        <v>9</v>
      </c>
      <c r="K16" s="35">
        <f>UsabilityScale!K16-1</f>
        <v>6</v>
      </c>
      <c r="L16" s="35">
        <f>UsabilityScale!L16-1</f>
        <v>9</v>
      </c>
      <c r="M16" s="35">
        <f>UsabilityScale!M16-1</f>
        <v>9</v>
      </c>
      <c r="N16" s="35">
        <f>UsabilityScale!N16-1</f>
        <v>5</v>
      </c>
      <c r="O16" s="35">
        <f>UsabilityScale!O16-1</f>
        <v>8</v>
      </c>
      <c r="P16" s="24">
        <f t="shared" si="2"/>
        <v>13</v>
      </c>
      <c r="Q16" s="35">
        <f>UsabilityScale!Q16-1</f>
        <v>9</v>
      </c>
      <c r="R16" s="35">
        <f>UsabilityScale!R16-1</f>
        <v>5</v>
      </c>
      <c r="S16" s="24">
        <f t="shared" si="3"/>
        <v>14</v>
      </c>
      <c r="T16" s="35">
        <f>UsabilityScale!T16-1</f>
        <v>9</v>
      </c>
      <c r="U16" s="35">
        <f>UsabilityScale!U16-1</f>
        <v>9</v>
      </c>
      <c r="V16" s="24">
        <f t="shared" si="4"/>
        <v>18</v>
      </c>
      <c r="W16" s="35">
        <f>UsabilityScale!W16-1</f>
        <v>9</v>
      </c>
      <c r="X16" s="35">
        <f>UsabilityScale!X16-1</f>
        <v>9</v>
      </c>
      <c r="Y16" s="22">
        <f t="shared" si="5"/>
        <v>18</v>
      </c>
    </row>
    <row r="17" spans="1:25" x14ac:dyDescent="0.25">
      <c r="A17" s="35">
        <f>UsabilityScale!A17-1</f>
        <v>6</v>
      </c>
      <c r="B17" s="35">
        <f>UsabilityScale!B17-1</f>
        <v>5</v>
      </c>
      <c r="C17" s="35">
        <f>UsabilityScale!C17-1</f>
        <v>5</v>
      </c>
      <c r="D17" s="35">
        <f>UsabilityScale!D17-1</f>
        <v>9</v>
      </c>
      <c r="E17" s="22">
        <f t="shared" si="0"/>
        <v>25</v>
      </c>
      <c r="F17" s="35">
        <f>UsabilityScale!F17-1</f>
        <v>4</v>
      </c>
      <c r="G17" s="35">
        <f>UsabilityScale!G17-1</f>
        <v>7</v>
      </c>
      <c r="H17" s="24">
        <f t="shared" si="1"/>
        <v>11</v>
      </c>
      <c r="I17" s="35">
        <f>UsabilityScale!I17-1</f>
        <v>4</v>
      </c>
      <c r="J17" s="35">
        <f>UsabilityScale!J17-1</f>
        <v>5</v>
      </c>
      <c r="K17" s="35">
        <f>UsabilityScale!K17-1</f>
        <v>7</v>
      </c>
      <c r="L17" s="35">
        <f>UsabilityScale!L17-1</f>
        <v>6</v>
      </c>
      <c r="M17" s="35">
        <f>UsabilityScale!M17-1</f>
        <v>0</v>
      </c>
      <c r="N17" s="35">
        <f>UsabilityScale!N17-1</f>
        <v>8</v>
      </c>
      <c r="O17" s="35">
        <f>UsabilityScale!O17-1</f>
        <v>5</v>
      </c>
      <c r="P17" s="24">
        <f t="shared" si="2"/>
        <v>13</v>
      </c>
      <c r="Q17" s="35">
        <f>UsabilityScale!Q17-1</f>
        <v>1</v>
      </c>
      <c r="R17" s="35">
        <f>UsabilityScale!R17-1</f>
        <v>5</v>
      </c>
      <c r="S17" s="24">
        <f t="shared" si="3"/>
        <v>6</v>
      </c>
      <c r="T17" s="35">
        <f>UsabilityScale!T17-1</f>
        <v>6</v>
      </c>
      <c r="U17" s="35">
        <f>UsabilityScale!U17-1</f>
        <v>9</v>
      </c>
      <c r="V17" s="24">
        <f t="shared" si="4"/>
        <v>15</v>
      </c>
      <c r="W17" s="35">
        <f>UsabilityScale!W17-1</f>
        <v>9</v>
      </c>
      <c r="X17" s="35">
        <f>UsabilityScale!X17-1</f>
        <v>7</v>
      </c>
      <c r="Y17" s="22">
        <f t="shared" si="5"/>
        <v>16</v>
      </c>
    </row>
    <row r="18" spans="1:25" x14ac:dyDescent="0.25">
      <c r="A18" s="35">
        <f>UsabilityScale!A18-1</f>
        <v>9</v>
      </c>
      <c r="B18" s="35">
        <f>UsabilityScale!B18-1</f>
        <v>9</v>
      </c>
      <c r="C18" s="35">
        <f>UsabilityScale!C18-1</f>
        <v>9</v>
      </c>
      <c r="D18" s="35">
        <f>UsabilityScale!D18-1</f>
        <v>9</v>
      </c>
      <c r="E18" s="22">
        <f t="shared" si="0"/>
        <v>36</v>
      </c>
      <c r="F18" s="35">
        <f>UsabilityScale!F18-1</f>
        <v>9</v>
      </c>
      <c r="G18" s="35">
        <f>UsabilityScale!G18-1</f>
        <v>9</v>
      </c>
      <c r="H18" s="24">
        <f t="shared" si="1"/>
        <v>18</v>
      </c>
      <c r="I18" s="35">
        <f>UsabilityScale!I18-1</f>
        <v>9</v>
      </c>
      <c r="J18" s="35">
        <f>UsabilityScale!J18-1</f>
        <v>9</v>
      </c>
      <c r="K18" s="35">
        <f>UsabilityScale!K18-1</f>
        <v>9</v>
      </c>
      <c r="L18" s="35">
        <f>UsabilityScale!L18-1</f>
        <v>9</v>
      </c>
      <c r="M18" s="35">
        <f>UsabilityScale!M18-1</f>
        <v>9</v>
      </c>
      <c r="N18" s="35">
        <f>UsabilityScale!N18-1</f>
        <v>8</v>
      </c>
      <c r="O18" s="35">
        <f>UsabilityScale!O18-1</f>
        <v>9</v>
      </c>
      <c r="P18" s="24">
        <f t="shared" si="2"/>
        <v>17</v>
      </c>
      <c r="Q18" s="35">
        <f>UsabilityScale!Q18-1</f>
        <v>9</v>
      </c>
      <c r="R18" s="35">
        <f>UsabilityScale!R18-1</f>
        <v>8</v>
      </c>
      <c r="S18" s="24">
        <f t="shared" si="3"/>
        <v>17</v>
      </c>
      <c r="T18" s="35">
        <f>UsabilityScale!T18-1</f>
        <v>9</v>
      </c>
      <c r="U18" s="35">
        <f>UsabilityScale!U18-1</f>
        <v>9</v>
      </c>
      <c r="V18" s="24">
        <f t="shared" si="4"/>
        <v>18</v>
      </c>
      <c r="W18" s="35">
        <f>UsabilityScale!W18-1</f>
        <v>9</v>
      </c>
      <c r="X18" s="35">
        <f>UsabilityScale!X18-1</f>
        <v>9</v>
      </c>
      <c r="Y18" s="22">
        <f t="shared" si="5"/>
        <v>18</v>
      </c>
    </row>
    <row r="19" spans="1:25" x14ac:dyDescent="0.25">
      <c r="A19" s="35">
        <f>UsabilityScale!A19-1</f>
        <v>9</v>
      </c>
      <c r="B19" s="35">
        <f>UsabilityScale!B19-1</f>
        <v>9</v>
      </c>
      <c r="C19" s="35">
        <f>UsabilityScale!C19-1</f>
        <v>9</v>
      </c>
      <c r="D19" s="35">
        <f>UsabilityScale!D19-1</f>
        <v>5</v>
      </c>
      <c r="E19" s="22">
        <f t="shared" si="0"/>
        <v>32</v>
      </c>
      <c r="F19" s="35">
        <f>UsabilityScale!F19-1</f>
        <v>9</v>
      </c>
      <c r="G19" s="35">
        <f>UsabilityScale!G19-1</f>
        <v>9</v>
      </c>
      <c r="H19" s="24">
        <f t="shared" si="1"/>
        <v>18</v>
      </c>
      <c r="I19" s="35">
        <f>UsabilityScale!I19-1</f>
        <v>9</v>
      </c>
      <c r="J19" s="35">
        <f>UsabilityScale!J19-1</f>
        <v>4</v>
      </c>
      <c r="K19" s="35">
        <f>UsabilityScale!K19-1</f>
        <v>9</v>
      </c>
      <c r="L19" s="35">
        <f>UsabilityScale!L19-1</f>
        <v>9</v>
      </c>
      <c r="M19" s="35">
        <f>UsabilityScale!M19-1</f>
        <v>9</v>
      </c>
      <c r="N19" s="35">
        <f>UsabilityScale!N19-1</f>
        <v>4</v>
      </c>
      <c r="O19" s="35">
        <f>UsabilityScale!O19-1</f>
        <v>4</v>
      </c>
      <c r="P19" s="24">
        <f t="shared" si="2"/>
        <v>8</v>
      </c>
      <c r="Q19" s="35">
        <f>UsabilityScale!Q19-1</f>
        <v>9</v>
      </c>
      <c r="R19" s="35">
        <f>UsabilityScale!R19-1</f>
        <v>4</v>
      </c>
      <c r="S19" s="24">
        <f t="shared" si="3"/>
        <v>13</v>
      </c>
      <c r="T19" s="35">
        <f>UsabilityScale!T19-1</f>
        <v>9</v>
      </c>
      <c r="U19" s="35">
        <f>UsabilityScale!U19-1</f>
        <v>9</v>
      </c>
      <c r="V19" s="24">
        <f t="shared" si="4"/>
        <v>18</v>
      </c>
      <c r="W19" s="35">
        <f>UsabilityScale!W19-1</f>
        <v>4</v>
      </c>
      <c r="X19" s="35">
        <f>UsabilityScale!X19-1</f>
        <v>4</v>
      </c>
      <c r="Y19" s="22">
        <f t="shared" si="5"/>
        <v>8</v>
      </c>
    </row>
    <row r="20" spans="1:25" x14ac:dyDescent="0.25">
      <c r="A20" s="35">
        <f>UsabilityScale!A20-1</f>
        <v>9</v>
      </c>
      <c r="B20" s="35">
        <f>UsabilityScale!B20-1</f>
        <v>9</v>
      </c>
      <c r="C20" s="35">
        <f>UsabilityScale!C20-1</f>
        <v>9</v>
      </c>
      <c r="D20" s="35">
        <f>UsabilityScale!D20-1</f>
        <v>5</v>
      </c>
      <c r="E20" s="22">
        <f t="shared" si="0"/>
        <v>32</v>
      </c>
      <c r="F20" s="35">
        <f>UsabilityScale!F20-1</f>
        <v>9</v>
      </c>
      <c r="G20" s="35">
        <f>UsabilityScale!G20-1</f>
        <v>9</v>
      </c>
      <c r="H20" s="24">
        <f t="shared" si="1"/>
        <v>18</v>
      </c>
      <c r="I20" s="35">
        <f>UsabilityScale!I20-1</f>
        <v>9</v>
      </c>
      <c r="J20" s="35">
        <f>UsabilityScale!J20-1</f>
        <v>4</v>
      </c>
      <c r="K20" s="35">
        <f>UsabilityScale!K20-1</f>
        <v>9</v>
      </c>
      <c r="L20" s="35">
        <f>UsabilityScale!L20-1</f>
        <v>9</v>
      </c>
      <c r="M20" s="35">
        <f>UsabilityScale!M20-1</f>
        <v>9</v>
      </c>
      <c r="N20" s="35">
        <f>UsabilityScale!N20-1</f>
        <v>4</v>
      </c>
      <c r="O20" s="35">
        <f>UsabilityScale!O20-1</f>
        <v>4</v>
      </c>
      <c r="P20" s="24">
        <f t="shared" si="2"/>
        <v>8</v>
      </c>
      <c r="Q20" s="35">
        <f>UsabilityScale!Q20-1</f>
        <v>9</v>
      </c>
      <c r="R20" s="35">
        <f>UsabilityScale!R20-1</f>
        <v>4</v>
      </c>
      <c r="S20" s="24">
        <f t="shared" si="3"/>
        <v>13</v>
      </c>
      <c r="T20" s="35">
        <f>UsabilityScale!T20-1</f>
        <v>9</v>
      </c>
      <c r="U20" s="35">
        <f>UsabilityScale!U20-1</f>
        <v>9</v>
      </c>
      <c r="V20" s="24">
        <f t="shared" si="4"/>
        <v>18</v>
      </c>
      <c r="W20" s="35">
        <f>UsabilityScale!W20-1</f>
        <v>4</v>
      </c>
      <c r="X20" s="35">
        <f>UsabilityScale!X20-1</f>
        <v>4</v>
      </c>
      <c r="Y20" s="22">
        <f t="shared" si="5"/>
        <v>8</v>
      </c>
    </row>
    <row r="21" spans="1:25" x14ac:dyDescent="0.25">
      <c r="A21" s="35">
        <f>UsabilityScale!A21-1</f>
        <v>9</v>
      </c>
      <c r="B21" s="35">
        <f>UsabilityScale!B21-1</f>
        <v>9</v>
      </c>
      <c r="C21" s="35">
        <f>UsabilityScale!C21-1</f>
        <v>9</v>
      </c>
      <c r="D21" s="35">
        <f>UsabilityScale!D21-1</f>
        <v>5</v>
      </c>
      <c r="E21" s="22">
        <f t="shared" si="0"/>
        <v>32</v>
      </c>
      <c r="F21" s="35">
        <f>UsabilityScale!F21-1</f>
        <v>9</v>
      </c>
      <c r="G21" s="35">
        <f>UsabilityScale!G21-1</f>
        <v>9</v>
      </c>
      <c r="H21" s="24">
        <f t="shared" si="1"/>
        <v>18</v>
      </c>
      <c r="I21" s="35">
        <f>UsabilityScale!I21-1</f>
        <v>9</v>
      </c>
      <c r="J21" s="35">
        <f>UsabilityScale!J21-1</f>
        <v>4</v>
      </c>
      <c r="K21" s="35">
        <f>UsabilityScale!K21-1</f>
        <v>9</v>
      </c>
      <c r="L21" s="35">
        <f>UsabilityScale!L21-1</f>
        <v>9</v>
      </c>
      <c r="M21" s="35">
        <f>UsabilityScale!M21-1</f>
        <v>9</v>
      </c>
      <c r="N21" s="35">
        <f>UsabilityScale!N21-1</f>
        <v>4</v>
      </c>
      <c r="O21" s="35">
        <f>UsabilityScale!O21-1</f>
        <v>4</v>
      </c>
      <c r="P21" s="24">
        <f t="shared" si="2"/>
        <v>8</v>
      </c>
      <c r="Q21" s="35">
        <f>UsabilityScale!Q21-1</f>
        <v>9</v>
      </c>
      <c r="R21" s="35">
        <f>UsabilityScale!R21-1</f>
        <v>4</v>
      </c>
      <c r="S21" s="24">
        <f t="shared" si="3"/>
        <v>13</v>
      </c>
      <c r="T21" s="35">
        <f>UsabilityScale!T21-1</f>
        <v>9</v>
      </c>
      <c r="U21" s="35">
        <f>UsabilityScale!U21-1</f>
        <v>9</v>
      </c>
      <c r="V21" s="24">
        <f t="shared" si="4"/>
        <v>18</v>
      </c>
      <c r="W21" s="35">
        <f>UsabilityScale!W21-1</f>
        <v>4</v>
      </c>
      <c r="X21" s="35">
        <f>UsabilityScale!X21-1</f>
        <v>4</v>
      </c>
      <c r="Y21" s="22">
        <f t="shared" si="5"/>
        <v>8</v>
      </c>
    </row>
    <row r="22" spans="1:25" x14ac:dyDescent="0.25">
      <c r="A22" s="35">
        <f>UsabilityScale!A22-1</f>
        <v>9</v>
      </c>
      <c r="B22" s="35">
        <f>UsabilityScale!B22-1</f>
        <v>9</v>
      </c>
      <c r="C22" s="35">
        <f>UsabilityScale!C22-1</f>
        <v>9</v>
      </c>
      <c r="D22" s="35">
        <f>UsabilityScale!D22-1</f>
        <v>3</v>
      </c>
      <c r="E22" s="22">
        <f t="shared" si="0"/>
        <v>30</v>
      </c>
      <c r="F22" s="35">
        <f>UsabilityScale!F22-1</f>
        <v>9</v>
      </c>
      <c r="G22" s="35">
        <f>UsabilityScale!G22-1</f>
        <v>9</v>
      </c>
      <c r="H22" s="24">
        <f t="shared" si="1"/>
        <v>18</v>
      </c>
      <c r="I22" s="35">
        <f>UsabilityScale!I22-1</f>
        <v>9</v>
      </c>
      <c r="J22" s="35">
        <f>UsabilityScale!J22-1</f>
        <v>4</v>
      </c>
      <c r="K22" s="35">
        <f>UsabilityScale!K22-1</f>
        <v>9</v>
      </c>
      <c r="L22" s="35">
        <f>UsabilityScale!L22-1</f>
        <v>9</v>
      </c>
      <c r="M22" s="35">
        <f>UsabilityScale!M22-1</f>
        <v>9</v>
      </c>
      <c r="N22" s="35">
        <f>UsabilityScale!N22-1</f>
        <v>4</v>
      </c>
      <c r="O22" s="35">
        <f>UsabilityScale!O22-1</f>
        <v>4</v>
      </c>
      <c r="P22" s="24">
        <f t="shared" si="2"/>
        <v>8</v>
      </c>
      <c r="Q22" s="35">
        <f>UsabilityScale!Q22-1</f>
        <v>9</v>
      </c>
      <c r="R22" s="35">
        <f>UsabilityScale!R22-1</f>
        <v>4</v>
      </c>
      <c r="S22" s="24">
        <f t="shared" si="3"/>
        <v>13</v>
      </c>
      <c r="T22" s="35">
        <f>UsabilityScale!T22-1</f>
        <v>9</v>
      </c>
      <c r="U22" s="35">
        <f>UsabilityScale!U22-1</f>
        <v>9</v>
      </c>
      <c r="V22" s="24">
        <f t="shared" si="4"/>
        <v>18</v>
      </c>
      <c r="W22" s="35">
        <f>UsabilityScale!W22-1</f>
        <v>4</v>
      </c>
      <c r="X22" s="35">
        <f>UsabilityScale!X22-1</f>
        <v>4</v>
      </c>
      <c r="Y22" s="22">
        <f t="shared" si="5"/>
        <v>8</v>
      </c>
    </row>
    <row r="23" spans="1:25" x14ac:dyDescent="0.25">
      <c r="A23" s="35">
        <f>UsabilityScale!A23-1</f>
        <v>9</v>
      </c>
      <c r="B23" s="35">
        <f>UsabilityScale!B23-1</f>
        <v>9</v>
      </c>
      <c r="C23" s="35">
        <f>UsabilityScale!C23-1</f>
        <v>9</v>
      </c>
      <c r="D23" s="35">
        <f>UsabilityScale!D23-1</f>
        <v>3</v>
      </c>
      <c r="E23" s="22">
        <f t="shared" si="0"/>
        <v>30</v>
      </c>
      <c r="F23" s="35">
        <f>UsabilityScale!F23-1</f>
        <v>9</v>
      </c>
      <c r="G23" s="35">
        <f>UsabilityScale!G23-1</f>
        <v>9</v>
      </c>
      <c r="H23" s="24">
        <f t="shared" si="1"/>
        <v>18</v>
      </c>
      <c r="I23" s="35">
        <f>UsabilityScale!I23-1</f>
        <v>9</v>
      </c>
      <c r="J23" s="35">
        <f>UsabilityScale!J23-1</f>
        <v>4</v>
      </c>
      <c r="K23" s="35">
        <f>UsabilityScale!K23-1</f>
        <v>9</v>
      </c>
      <c r="L23" s="35">
        <f>UsabilityScale!L23-1</f>
        <v>9</v>
      </c>
      <c r="M23" s="35">
        <f>UsabilityScale!M23-1</f>
        <v>9</v>
      </c>
      <c r="N23" s="35">
        <f>UsabilityScale!N23-1</f>
        <v>4</v>
      </c>
      <c r="O23" s="35">
        <f>UsabilityScale!O23-1</f>
        <v>4</v>
      </c>
      <c r="P23" s="24">
        <f t="shared" si="2"/>
        <v>8</v>
      </c>
      <c r="Q23" s="35">
        <f>UsabilityScale!Q23-1</f>
        <v>9</v>
      </c>
      <c r="R23" s="35">
        <f>UsabilityScale!R23-1</f>
        <v>4</v>
      </c>
      <c r="S23" s="24">
        <f t="shared" si="3"/>
        <v>13</v>
      </c>
      <c r="T23" s="35">
        <f>UsabilityScale!T23-1</f>
        <v>9</v>
      </c>
      <c r="U23" s="35">
        <f>UsabilityScale!U23-1</f>
        <v>9</v>
      </c>
      <c r="V23" s="24">
        <f t="shared" si="4"/>
        <v>18</v>
      </c>
      <c r="W23" s="35">
        <f>UsabilityScale!W23-1</f>
        <v>4</v>
      </c>
      <c r="X23" s="35">
        <f>UsabilityScale!X23-1</f>
        <v>4</v>
      </c>
      <c r="Y23" s="22">
        <f t="shared" si="5"/>
        <v>8</v>
      </c>
    </row>
    <row r="24" spans="1:25" x14ac:dyDescent="0.25">
      <c r="A24" s="35">
        <f>UsabilityScale!A24-1</f>
        <v>9</v>
      </c>
      <c r="B24" s="35">
        <f>UsabilityScale!B24-1</f>
        <v>9</v>
      </c>
      <c r="C24" s="35">
        <f>UsabilityScale!C24-1</f>
        <v>9</v>
      </c>
      <c r="D24" s="35">
        <f>UsabilityScale!D24-1</f>
        <v>3</v>
      </c>
      <c r="E24" s="22">
        <f t="shared" si="0"/>
        <v>30</v>
      </c>
      <c r="F24" s="35">
        <f>UsabilityScale!F24-1</f>
        <v>9</v>
      </c>
      <c r="G24" s="35">
        <f>UsabilityScale!G24-1</f>
        <v>9</v>
      </c>
      <c r="H24" s="24">
        <f t="shared" si="1"/>
        <v>18</v>
      </c>
      <c r="I24" s="35">
        <f>UsabilityScale!I24-1</f>
        <v>9</v>
      </c>
      <c r="J24" s="35">
        <f>UsabilityScale!J24-1</f>
        <v>4</v>
      </c>
      <c r="K24" s="35">
        <f>UsabilityScale!K24-1</f>
        <v>9</v>
      </c>
      <c r="L24" s="35">
        <f>UsabilityScale!L24-1</f>
        <v>9</v>
      </c>
      <c r="M24" s="35">
        <f>UsabilityScale!M24-1</f>
        <v>9</v>
      </c>
      <c r="N24" s="35">
        <f>UsabilityScale!N24-1</f>
        <v>4</v>
      </c>
      <c r="O24" s="35">
        <f>UsabilityScale!O24-1</f>
        <v>4</v>
      </c>
      <c r="P24" s="24">
        <f t="shared" si="2"/>
        <v>8</v>
      </c>
      <c r="Q24" s="35">
        <f>UsabilityScale!Q24-1</f>
        <v>9</v>
      </c>
      <c r="R24" s="35">
        <f>UsabilityScale!R24-1</f>
        <v>4</v>
      </c>
      <c r="S24" s="24">
        <f t="shared" si="3"/>
        <v>13</v>
      </c>
      <c r="T24" s="35">
        <f>UsabilityScale!T24-1</f>
        <v>9</v>
      </c>
      <c r="U24" s="35">
        <f>UsabilityScale!U24-1</f>
        <v>9</v>
      </c>
      <c r="V24" s="24">
        <f t="shared" si="4"/>
        <v>18</v>
      </c>
      <c r="W24" s="35">
        <f>UsabilityScale!W24-1</f>
        <v>4</v>
      </c>
      <c r="X24" s="35">
        <f>UsabilityScale!X24-1</f>
        <v>4</v>
      </c>
      <c r="Y24" s="22">
        <f t="shared" si="5"/>
        <v>8</v>
      </c>
    </row>
    <row r="25" spans="1:25" x14ac:dyDescent="0.25">
      <c r="A25" s="36"/>
      <c r="B25" s="36"/>
      <c r="C25" s="36"/>
      <c r="D25" s="36"/>
      <c r="E25" s="22"/>
      <c r="F25" s="36"/>
      <c r="G25" s="36"/>
      <c r="H25" s="22"/>
      <c r="N25" s="36"/>
      <c r="O25" s="36"/>
      <c r="P25" s="22"/>
      <c r="Q25" s="36"/>
      <c r="R25" s="36"/>
      <c r="S25" s="22"/>
      <c r="T25" s="36"/>
      <c r="U25" s="36"/>
      <c r="V25" s="22"/>
      <c r="Y25" s="22"/>
    </row>
    <row r="26" spans="1:25" x14ac:dyDescent="0.25">
      <c r="A26" s="36">
        <f>AVERAGE(A3:A24)</f>
        <v>7.3181818181818183</v>
      </c>
      <c r="B26" s="36">
        <f t="shared" ref="B26:C26" si="6">AVERAGE(B3:B24)</f>
        <v>8.045454545454545</v>
      </c>
      <c r="C26" s="36">
        <f t="shared" si="6"/>
        <v>8.2272727272727266</v>
      </c>
      <c r="D26" s="36">
        <v>8.2727272727272734</v>
      </c>
      <c r="E26" s="22">
        <f>AVERAGE(E3:E24)/4</f>
        <v>7.7159090909090908</v>
      </c>
      <c r="F26" s="36">
        <f t="shared" ref="F26:X26" si="7">AVERAGE(F3:F24)</f>
        <v>7.5</v>
      </c>
      <c r="G26" s="36">
        <f t="shared" si="7"/>
        <v>8.6363636363636367</v>
      </c>
      <c r="H26" s="22">
        <f>AVERAGE(H3:H24)/2</f>
        <v>8.0681818181818183</v>
      </c>
      <c r="I26">
        <f t="shared" si="7"/>
        <v>8</v>
      </c>
      <c r="J26" s="32">
        <f t="shared" si="7"/>
        <v>6.4545454545454541</v>
      </c>
      <c r="K26">
        <f t="shared" si="7"/>
        <v>7.5454545454545459</v>
      </c>
      <c r="L26">
        <f t="shared" si="7"/>
        <v>7.7272727272727275</v>
      </c>
      <c r="M26">
        <f t="shared" si="7"/>
        <v>8.3181818181818183</v>
      </c>
      <c r="N26" s="36">
        <f t="shared" si="7"/>
        <v>6.4545454545454541</v>
      </c>
      <c r="O26" s="36">
        <f t="shared" si="7"/>
        <v>6.4545454545454541</v>
      </c>
      <c r="P26" s="22">
        <f>AVERAGE(P3:P24)/2</f>
        <v>6.4545454545454541</v>
      </c>
      <c r="Q26" s="36">
        <f t="shared" si="7"/>
        <v>7.1818181818181817</v>
      </c>
      <c r="R26" s="36">
        <f t="shared" si="7"/>
        <v>6.6363636363636367</v>
      </c>
      <c r="S26" s="22">
        <f>AVERAGE(S3:S24)/2</f>
        <v>6.9090909090909092</v>
      </c>
      <c r="T26" s="36">
        <f t="shared" si="7"/>
        <v>8.8636363636363633</v>
      </c>
      <c r="U26" s="36">
        <f t="shared" si="7"/>
        <v>8.6363636363636367</v>
      </c>
      <c r="V26" s="22">
        <f>AVERAGE(V3:V24)/2</f>
        <v>8.75</v>
      </c>
      <c r="W26">
        <f t="shared" si="7"/>
        <v>7.5454545454545459</v>
      </c>
      <c r="X26" s="32">
        <f t="shared" si="7"/>
        <v>6.6363636363636367</v>
      </c>
      <c r="Y26" s="22">
        <f>AVERAGE(Y3:Y24)/2</f>
        <v>7.0909090909090908</v>
      </c>
    </row>
    <row r="27" spans="1:25" x14ac:dyDescent="0.25">
      <c r="A27" s="36">
        <f>_xlfn.STDEV.S(A3:A24)</f>
        <v>2.1905938233048357</v>
      </c>
      <c r="B27" s="36">
        <f t="shared" ref="B27:C27" si="8">_xlfn.STDEV.S(B3:B24)</f>
        <v>1.7855844108615224</v>
      </c>
      <c r="C27" s="36">
        <f t="shared" si="8"/>
        <v>2.0686277526951953</v>
      </c>
      <c r="D27" s="36">
        <v>2.7112080979978916</v>
      </c>
      <c r="E27" s="22">
        <f>STDEV(E4:E25)/4</f>
        <v>1.3393095235978874</v>
      </c>
      <c r="F27" s="36">
        <f t="shared" ref="F27:X27" si="9">_xlfn.STDEV.S(F3:F24)</f>
        <v>2.5773740789526736</v>
      </c>
      <c r="G27" s="36">
        <f t="shared" si="9"/>
        <v>1.0021621646864345</v>
      </c>
      <c r="H27" s="22">
        <f>_xlfn.STDEV.S(H3:H24)/2</f>
        <v>1.6057593852950705</v>
      </c>
      <c r="I27">
        <f t="shared" si="9"/>
        <v>1.5735915849388864</v>
      </c>
      <c r="J27" s="32">
        <f t="shared" si="9"/>
        <v>1.8446130766633431</v>
      </c>
      <c r="K27">
        <f t="shared" si="9"/>
        <v>2.2620528545732785</v>
      </c>
      <c r="L27">
        <f t="shared" si="9"/>
        <v>2.3336425274423331</v>
      </c>
      <c r="M27">
        <f t="shared" si="9"/>
        <v>2.0091780749342592</v>
      </c>
      <c r="N27" s="36">
        <f t="shared" si="9"/>
        <v>1.8186146670912202</v>
      </c>
      <c r="O27" s="36">
        <f t="shared" si="9"/>
        <v>2.1542266920388493</v>
      </c>
      <c r="P27" s="22">
        <f>_xlfn.STDEV.S(P3:P24)/2</f>
        <v>1.8186146670912202</v>
      </c>
      <c r="Q27" s="36">
        <f t="shared" si="9"/>
        <v>2.2811100813996688</v>
      </c>
      <c r="R27" s="36">
        <f t="shared" si="9"/>
        <v>1.9650628136199269</v>
      </c>
      <c r="S27" s="22">
        <f>_xlfn.STDEV.S(S3:S24)/2</f>
        <v>1.2501082204235598</v>
      </c>
      <c r="T27" s="36">
        <f t="shared" si="9"/>
        <v>0.63960214906683133</v>
      </c>
      <c r="U27" s="36">
        <f t="shared" si="9"/>
        <v>1.3289972784899757</v>
      </c>
      <c r="V27" s="22">
        <f>_xlfn.STDEV.S(V3:V24)/2</f>
        <v>0.71962291712892446</v>
      </c>
      <c r="W27">
        <f t="shared" si="9"/>
        <v>2.2620528545732785</v>
      </c>
      <c r="X27" s="32">
        <f t="shared" si="9"/>
        <v>1.940678687014872</v>
      </c>
      <c r="Y27" s="22">
        <f>_xlfn.STDEV.S(Y3:Y24)/2</f>
        <v>2.0215291456172686</v>
      </c>
    </row>
    <row r="32" spans="1:25" x14ac:dyDescent="0.25">
      <c r="A32" s="13"/>
      <c r="B32" s="13" t="s">
        <v>246</v>
      </c>
      <c r="C32" t="s">
        <v>194</v>
      </c>
      <c r="D32" s="36" t="s">
        <v>196</v>
      </c>
      <c r="E32" s="13" t="s">
        <v>180</v>
      </c>
      <c r="F32" s="29" t="s">
        <v>206</v>
      </c>
      <c r="G32" s="13" t="s">
        <v>195</v>
      </c>
      <c r="H32" s="13" t="s">
        <v>197</v>
      </c>
      <c r="I32" s="13" t="s">
        <v>198</v>
      </c>
      <c r="J32" s="13"/>
      <c r="K32" s="29"/>
      <c r="L32" s="13"/>
      <c r="M32" s="13"/>
      <c r="N32" s="13"/>
    </row>
    <row r="33" spans="1:34" x14ac:dyDescent="0.25">
      <c r="A33" s="13"/>
      <c r="B33" s="13" t="s">
        <v>245</v>
      </c>
      <c r="C33" t="s">
        <v>243</v>
      </c>
      <c r="D33" s="37" t="s">
        <v>244</v>
      </c>
      <c r="E33" s="40" t="s">
        <v>5</v>
      </c>
      <c r="F33" s="41" t="s">
        <v>18</v>
      </c>
      <c r="G33" s="40" t="s">
        <v>7</v>
      </c>
      <c r="H33" s="40" t="s">
        <v>9</v>
      </c>
      <c r="I33" s="40" t="s">
        <v>10</v>
      </c>
      <c r="J33" s="42" t="s">
        <v>239</v>
      </c>
      <c r="K33" s="30" t="s">
        <v>240</v>
      </c>
      <c r="L33" s="30" t="s">
        <v>241</v>
      </c>
      <c r="M33" s="30" t="s">
        <v>242</v>
      </c>
      <c r="N33" s="43" t="s">
        <v>234</v>
      </c>
    </row>
    <row r="34" spans="1:34" x14ac:dyDescent="0.25">
      <c r="A34" s="13"/>
      <c r="B34" s="13">
        <f>AVERAGE(A3,B3,D3,G3)</f>
        <v>7</v>
      </c>
      <c r="C34" s="35">
        <f>C3</f>
        <v>9</v>
      </c>
      <c r="D34" s="35">
        <f>F3</f>
        <v>9</v>
      </c>
      <c r="E34" s="42">
        <f>I3</f>
        <v>9</v>
      </c>
      <c r="F34" s="31">
        <f>J3</f>
        <v>6</v>
      </c>
      <c r="G34" s="42">
        <f>K3</f>
        <v>7</v>
      </c>
      <c r="H34" s="42">
        <f>L3</f>
        <v>6</v>
      </c>
      <c r="I34" s="42">
        <f>M3</f>
        <v>9</v>
      </c>
      <c r="J34" s="13">
        <f t="shared" ref="J34:J55" si="10">AVERAGE(N3:O3)</f>
        <v>7.5</v>
      </c>
      <c r="K34" s="29">
        <f t="shared" ref="K34:K55" si="11">AVERAGE(Q3:R3)</f>
        <v>7.5</v>
      </c>
      <c r="L34" s="13">
        <f t="shared" ref="L34:L55" si="12">AVERAGE(T3:U3)</f>
        <v>9</v>
      </c>
      <c r="M34" s="13">
        <f t="shared" ref="M34:M55" si="13">AVERAGE(W3:X3)</f>
        <v>9</v>
      </c>
      <c r="N34" s="44">
        <f>ROUND(100*AVERAGE(B34:M34)/9,2)</f>
        <v>87.96</v>
      </c>
      <c r="O34">
        <f>ROUND(100*SUM(B34:M34)/108,2)</f>
        <v>87.96</v>
      </c>
    </row>
    <row r="35" spans="1:34" x14ac:dyDescent="0.25">
      <c r="A35" s="13"/>
      <c r="B35" s="13">
        <f t="shared" ref="B35:B55" si="14">AVERAGE(A4,B4,D4,G4)</f>
        <v>7.5</v>
      </c>
      <c r="C35" s="35">
        <f t="shared" ref="C35:C55" si="15">C4</f>
        <v>9</v>
      </c>
      <c r="D35" s="35">
        <f t="shared" ref="D35:D55" si="16">F4</f>
        <v>6</v>
      </c>
      <c r="E35" s="42">
        <f t="shared" ref="E35:E55" si="17">I4</f>
        <v>5</v>
      </c>
      <c r="F35" s="31">
        <f t="shared" ref="F35:F55" si="18">J4</f>
        <v>8</v>
      </c>
      <c r="G35" s="42">
        <f t="shared" ref="G35:G55" si="19">K4</f>
        <v>8</v>
      </c>
      <c r="H35" s="42">
        <f t="shared" ref="H35:I35" si="20">L4</f>
        <v>6</v>
      </c>
      <c r="I35" s="42">
        <f t="shared" si="20"/>
        <v>9</v>
      </c>
      <c r="J35" s="13">
        <f t="shared" si="10"/>
        <v>7.5</v>
      </c>
      <c r="K35" s="29">
        <f t="shared" si="11"/>
        <v>9</v>
      </c>
      <c r="L35" s="13">
        <f t="shared" si="12"/>
        <v>8</v>
      </c>
      <c r="M35" s="13">
        <f t="shared" si="13"/>
        <v>8</v>
      </c>
      <c r="N35" s="44">
        <f t="shared" ref="N35:N55" si="21">ROUND(100*AVERAGE(B35:M35)/9,2)</f>
        <v>84.26</v>
      </c>
      <c r="O35">
        <f t="shared" ref="O35:O55" si="22">ROUND(100*SUM(B35:M35)/108,2)</f>
        <v>84.26</v>
      </c>
    </row>
    <row r="36" spans="1:34" x14ac:dyDescent="0.25">
      <c r="A36" s="13"/>
      <c r="B36" s="13">
        <f t="shared" si="14"/>
        <v>2.75</v>
      </c>
      <c r="C36" s="35">
        <f t="shared" si="15"/>
        <v>8</v>
      </c>
      <c r="D36" s="35">
        <f t="shared" si="16"/>
        <v>2</v>
      </c>
      <c r="E36" s="42">
        <f t="shared" si="17"/>
        <v>5</v>
      </c>
      <c r="F36" s="31">
        <f t="shared" si="18"/>
        <v>8</v>
      </c>
      <c r="G36" s="42">
        <f t="shared" si="19"/>
        <v>3</v>
      </c>
      <c r="H36" s="42">
        <f t="shared" ref="H36:I36" si="23">L5</f>
        <v>3</v>
      </c>
      <c r="I36" s="42">
        <f t="shared" si="23"/>
        <v>6</v>
      </c>
      <c r="J36" s="13">
        <f t="shared" si="10"/>
        <v>5</v>
      </c>
      <c r="K36" s="29">
        <f t="shared" si="11"/>
        <v>7.5</v>
      </c>
      <c r="L36" s="13">
        <f t="shared" si="12"/>
        <v>6</v>
      </c>
      <c r="M36" s="13">
        <f t="shared" si="13"/>
        <v>8</v>
      </c>
      <c r="N36" s="44">
        <f t="shared" si="21"/>
        <v>59.49</v>
      </c>
      <c r="O36">
        <f t="shared" si="22"/>
        <v>59.49</v>
      </c>
    </row>
    <row r="37" spans="1:34" x14ac:dyDescent="0.25">
      <c r="A37" s="13"/>
      <c r="B37" s="13">
        <f t="shared" si="14"/>
        <v>8.75</v>
      </c>
      <c r="C37" s="35">
        <f t="shared" si="15"/>
        <v>9</v>
      </c>
      <c r="D37" s="35">
        <f t="shared" si="16"/>
        <v>5</v>
      </c>
      <c r="E37" s="42">
        <f t="shared" si="17"/>
        <v>9</v>
      </c>
      <c r="F37" s="31">
        <f t="shared" si="18"/>
        <v>8</v>
      </c>
      <c r="G37" s="42">
        <f t="shared" si="19"/>
        <v>6</v>
      </c>
      <c r="H37" s="42">
        <f t="shared" ref="H37:I37" si="24">L6</f>
        <v>9</v>
      </c>
      <c r="I37" s="42">
        <f t="shared" si="24"/>
        <v>9</v>
      </c>
      <c r="J37" s="13">
        <f t="shared" si="10"/>
        <v>6</v>
      </c>
      <c r="K37" s="29">
        <f t="shared" si="11"/>
        <v>7</v>
      </c>
      <c r="L37" s="13">
        <f t="shared" si="12"/>
        <v>9</v>
      </c>
      <c r="M37" s="13">
        <f t="shared" si="13"/>
        <v>9</v>
      </c>
      <c r="N37" s="44">
        <f t="shared" si="21"/>
        <v>87.73</v>
      </c>
      <c r="O37">
        <f t="shared" si="22"/>
        <v>87.73</v>
      </c>
    </row>
    <row r="38" spans="1:34" x14ac:dyDescent="0.25">
      <c r="A38" s="13"/>
      <c r="B38" s="13">
        <f t="shared" si="14"/>
        <v>7.75</v>
      </c>
      <c r="C38" s="35">
        <f t="shared" si="15"/>
        <v>9</v>
      </c>
      <c r="D38" s="35">
        <f t="shared" si="16"/>
        <v>9</v>
      </c>
      <c r="E38" s="42">
        <f t="shared" si="17"/>
        <v>9</v>
      </c>
      <c r="F38" s="31">
        <f t="shared" si="18"/>
        <v>8</v>
      </c>
      <c r="G38" s="42">
        <f t="shared" si="19"/>
        <v>7</v>
      </c>
      <c r="H38" s="42">
        <f t="shared" ref="H38:I38" si="25">L7</f>
        <v>9</v>
      </c>
      <c r="I38" s="42">
        <f t="shared" si="25"/>
        <v>9</v>
      </c>
      <c r="J38" s="13">
        <f t="shared" si="10"/>
        <v>7.5</v>
      </c>
      <c r="K38" s="29">
        <f t="shared" si="11"/>
        <v>6</v>
      </c>
      <c r="L38" s="13">
        <f t="shared" si="12"/>
        <v>9</v>
      </c>
      <c r="M38" s="13">
        <f t="shared" si="13"/>
        <v>8</v>
      </c>
      <c r="N38" s="44">
        <f t="shared" si="21"/>
        <v>90.97</v>
      </c>
      <c r="O38">
        <f t="shared" si="22"/>
        <v>90.97</v>
      </c>
    </row>
    <row r="39" spans="1:34" x14ac:dyDescent="0.25">
      <c r="A39" s="13"/>
      <c r="B39" s="13">
        <f t="shared" si="14"/>
        <v>9</v>
      </c>
      <c r="C39" s="35">
        <f t="shared" si="15"/>
        <v>9</v>
      </c>
      <c r="D39" s="35">
        <f t="shared" si="16"/>
        <v>9</v>
      </c>
      <c r="E39" s="42">
        <f t="shared" si="17"/>
        <v>9</v>
      </c>
      <c r="F39" s="31">
        <f t="shared" si="18"/>
        <v>7</v>
      </c>
      <c r="G39" s="42">
        <f t="shared" si="19"/>
        <v>9</v>
      </c>
      <c r="H39" s="42">
        <f t="shared" ref="H39:I39" si="26">L8</f>
        <v>9</v>
      </c>
      <c r="I39" s="42">
        <f t="shared" si="26"/>
        <v>9</v>
      </c>
      <c r="J39" s="13">
        <f t="shared" si="10"/>
        <v>8.5</v>
      </c>
      <c r="K39" s="29">
        <f t="shared" si="11"/>
        <v>9</v>
      </c>
      <c r="L39" s="13">
        <f t="shared" si="12"/>
        <v>9</v>
      </c>
      <c r="M39" s="13">
        <f t="shared" si="13"/>
        <v>7</v>
      </c>
      <c r="N39" s="44">
        <f t="shared" si="21"/>
        <v>95.83</v>
      </c>
      <c r="O39">
        <f t="shared" si="22"/>
        <v>95.83</v>
      </c>
      <c r="Z39">
        <v>88.888888888888886</v>
      </c>
      <c r="AA39">
        <v>71.717171717171709</v>
      </c>
      <c r="AB39">
        <v>83.838383838383848</v>
      </c>
      <c r="AC39">
        <v>85.858585858585855</v>
      </c>
      <c r="AD39">
        <v>92.424242424242436</v>
      </c>
      <c r="AE39">
        <v>71.717171717171709</v>
      </c>
      <c r="AF39">
        <v>76.767676767676761</v>
      </c>
      <c r="AG39">
        <v>97.222222222222229</v>
      </c>
      <c r="AH39">
        <v>78.787878787878796</v>
      </c>
    </row>
    <row r="40" spans="1:34" x14ac:dyDescent="0.25">
      <c r="A40" s="13"/>
      <c r="B40" s="13">
        <f t="shared" si="14"/>
        <v>8.75</v>
      </c>
      <c r="C40" s="35">
        <f t="shared" si="15"/>
        <v>9</v>
      </c>
      <c r="D40" s="35">
        <f t="shared" si="16"/>
        <v>9</v>
      </c>
      <c r="E40" s="42">
        <f t="shared" si="17"/>
        <v>9</v>
      </c>
      <c r="F40" s="31">
        <f t="shared" si="18"/>
        <v>6</v>
      </c>
      <c r="G40" s="42">
        <f t="shared" si="19"/>
        <v>9</v>
      </c>
      <c r="H40" s="42">
        <f t="shared" ref="H40:I40" si="27">L9</f>
        <v>8</v>
      </c>
      <c r="I40" s="42">
        <f t="shared" si="27"/>
        <v>9</v>
      </c>
      <c r="J40" s="13">
        <f t="shared" si="10"/>
        <v>8.5</v>
      </c>
      <c r="K40" s="29">
        <f t="shared" si="11"/>
        <v>8</v>
      </c>
      <c r="L40" s="13">
        <f t="shared" si="12"/>
        <v>9</v>
      </c>
      <c r="M40" s="13">
        <f t="shared" si="13"/>
        <v>9</v>
      </c>
      <c r="N40" s="44">
        <f t="shared" si="21"/>
        <v>94.68</v>
      </c>
      <c r="O40">
        <f t="shared" si="22"/>
        <v>94.68</v>
      </c>
    </row>
    <row r="41" spans="1:34" x14ac:dyDescent="0.25">
      <c r="A41" s="13"/>
      <c r="B41" s="13">
        <f t="shared" si="14"/>
        <v>7.75</v>
      </c>
      <c r="C41" s="35">
        <f t="shared" si="15"/>
        <v>0</v>
      </c>
      <c r="D41" s="35">
        <f t="shared" si="16"/>
        <v>0</v>
      </c>
      <c r="E41" s="42">
        <f t="shared" si="17"/>
        <v>7</v>
      </c>
      <c r="F41" s="31">
        <f t="shared" si="18"/>
        <v>8</v>
      </c>
      <c r="G41" s="42">
        <f t="shared" si="19"/>
        <v>0</v>
      </c>
      <c r="H41" s="42">
        <f t="shared" ref="H41:I41" si="28">L10</f>
        <v>0</v>
      </c>
      <c r="I41" s="42">
        <f t="shared" si="28"/>
        <v>9</v>
      </c>
      <c r="J41" s="13">
        <f t="shared" si="10"/>
        <v>6.5</v>
      </c>
      <c r="K41" s="29">
        <f t="shared" si="11"/>
        <v>6</v>
      </c>
      <c r="L41" s="13">
        <f t="shared" si="12"/>
        <v>9</v>
      </c>
      <c r="M41" s="13">
        <f t="shared" si="13"/>
        <v>8</v>
      </c>
      <c r="N41" s="44">
        <f t="shared" si="21"/>
        <v>56.71</v>
      </c>
      <c r="O41">
        <f t="shared" si="22"/>
        <v>56.71</v>
      </c>
    </row>
    <row r="42" spans="1:34" x14ac:dyDescent="0.25">
      <c r="A42" s="13"/>
      <c r="B42" s="13">
        <f t="shared" si="14"/>
        <v>8</v>
      </c>
      <c r="C42" s="35">
        <f t="shared" si="15"/>
        <v>8</v>
      </c>
      <c r="D42" s="35">
        <f t="shared" si="16"/>
        <v>7</v>
      </c>
      <c r="E42" s="42">
        <f t="shared" si="17"/>
        <v>7</v>
      </c>
      <c r="F42" s="31">
        <f t="shared" si="18"/>
        <v>8</v>
      </c>
      <c r="G42" s="42">
        <f t="shared" si="19"/>
        <v>8</v>
      </c>
      <c r="H42" s="42">
        <f t="shared" ref="H42:I42" si="29">L11</f>
        <v>7</v>
      </c>
      <c r="I42" s="42">
        <f t="shared" si="29"/>
        <v>8</v>
      </c>
      <c r="J42" s="13">
        <f t="shared" si="10"/>
        <v>7</v>
      </c>
      <c r="K42" s="29">
        <f t="shared" si="11"/>
        <v>7.5</v>
      </c>
      <c r="L42" s="13">
        <f t="shared" si="12"/>
        <v>9</v>
      </c>
      <c r="M42" s="13">
        <f t="shared" si="13"/>
        <v>8</v>
      </c>
      <c r="N42" s="44">
        <f t="shared" si="21"/>
        <v>85.65</v>
      </c>
      <c r="O42">
        <f t="shared" si="22"/>
        <v>85.65</v>
      </c>
    </row>
    <row r="43" spans="1:34" x14ac:dyDescent="0.25">
      <c r="A43" s="13"/>
      <c r="B43" s="13">
        <f t="shared" si="14"/>
        <v>9</v>
      </c>
      <c r="C43" s="35">
        <f t="shared" si="15"/>
        <v>9</v>
      </c>
      <c r="D43" s="35">
        <f t="shared" si="16"/>
        <v>9</v>
      </c>
      <c r="E43" s="42">
        <f t="shared" si="17"/>
        <v>7</v>
      </c>
      <c r="F43" s="31">
        <f t="shared" si="18"/>
        <v>6</v>
      </c>
      <c r="G43" s="42">
        <f t="shared" si="19"/>
        <v>9</v>
      </c>
      <c r="H43" s="42">
        <f t="shared" ref="H43:I43" si="30">L12</f>
        <v>9</v>
      </c>
      <c r="I43" s="42">
        <f t="shared" si="30"/>
        <v>9</v>
      </c>
      <c r="J43" s="13">
        <f t="shared" si="10"/>
        <v>9</v>
      </c>
      <c r="K43" s="29">
        <f t="shared" si="11"/>
        <v>7</v>
      </c>
      <c r="L43" s="13">
        <f t="shared" si="12"/>
        <v>9</v>
      </c>
      <c r="M43" s="13">
        <f t="shared" si="13"/>
        <v>9</v>
      </c>
      <c r="N43" s="44">
        <f t="shared" si="21"/>
        <v>93.52</v>
      </c>
      <c r="O43">
        <f t="shared" si="22"/>
        <v>93.52</v>
      </c>
      <c r="W43" s="32"/>
    </row>
    <row r="44" spans="1:34" x14ac:dyDescent="0.25">
      <c r="A44" s="13"/>
      <c r="B44" s="13">
        <f t="shared" si="14"/>
        <v>7.25</v>
      </c>
      <c r="C44" s="35">
        <f t="shared" si="15"/>
        <v>7</v>
      </c>
      <c r="D44" s="35">
        <f t="shared" si="16"/>
        <v>8</v>
      </c>
      <c r="E44" s="42">
        <f t="shared" si="17"/>
        <v>7</v>
      </c>
      <c r="F44" s="31">
        <f t="shared" si="18"/>
        <v>6</v>
      </c>
      <c r="G44" s="42">
        <f t="shared" si="19"/>
        <v>8</v>
      </c>
      <c r="H44" s="42">
        <f t="shared" ref="H44:I44" si="31">L13</f>
        <v>8</v>
      </c>
      <c r="I44" s="42">
        <f t="shared" si="31"/>
        <v>7</v>
      </c>
      <c r="J44" s="13">
        <f t="shared" si="10"/>
        <v>6.5</v>
      </c>
      <c r="K44" s="29">
        <f t="shared" si="11"/>
        <v>6</v>
      </c>
      <c r="L44" s="13">
        <f t="shared" si="12"/>
        <v>9</v>
      </c>
      <c r="M44" s="13">
        <f t="shared" si="13"/>
        <v>7</v>
      </c>
      <c r="N44" s="44">
        <f t="shared" si="21"/>
        <v>80.319999999999993</v>
      </c>
      <c r="O44">
        <f t="shared" si="22"/>
        <v>80.319999999999993</v>
      </c>
    </row>
    <row r="45" spans="1:34" x14ac:dyDescent="0.25">
      <c r="A45" s="13"/>
      <c r="B45" s="13">
        <f t="shared" si="14"/>
        <v>9</v>
      </c>
      <c r="C45" s="35">
        <f t="shared" si="15"/>
        <v>9</v>
      </c>
      <c r="D45" s="35">
        <f t="shared" si="16"/>
        <v>7</v>
      </c>
      <c r="E45" s="42">
        <f t="shared" si="17"/>
        <v>9</v>
      </c>
      <c r="F45" s="31">
        <f t="shared" si="18"/>
        <v>8</v>
      </c>
      <c r="G45" s="42">
        <f t="shared" si="19"/>
        <v>7</v>
      </c>
      <c r="H45" s="42">
        <f t="shared" ref="H45:I45" si="32">L14</f>
        <v>9</v>
      </c>
      <c r="I45" s="42">
        <f t="shared" si="32"/>
        <v>9</v>
      </c>
      <c r="J45" s="13">
        <f t="shared" si="10"/>
        <v>8.5</v>
      </c>
      <c r="K45" s="29">
        <f t="shared" si="11"/>
        <v>7.5</v>
      </c>
      <c r="L45" s="13">
        <f t="shared" si="12"/>
        <v>9</v>
      </c>
      <c r="M45" s="13">
        <f t="shared" si="13"/>
        <v>8</v>
      </c>
      <c r="N45" s="44">
        <f t="shared" si="21"/>
        <v>92.59</v>
      </c>
      <c r="O45">
        <f t="shared" si="22"/>
        <v>92.59</v>
      </c>
    </row>
    <row r="46" spans="1:34" x14ac:dyDescent="0.25">
      <c r="A46" s="13"/>
      <c r="B46" s="13">
        <f t="shared" si="14"/>
        <v>8.5</v>
      </c>
      <c r="C46" s="35">
        <f t="shared" si="15"/>
        <v>9</v>
      </c>
      <c r="D46" s="35">
        <f t="shared" si="16"/>
        <v>9</v>
      </c>
      <c r="E46" s="42">
        <f t="shared" si="17"/>
        <v>9</v>
      </c>
      <c r="F46" s="31">
        <f t="shared" si="18"/>
        <v>8</v>
      </c>
      <c r="G46" s="42">
        <f t="shared" si="19"/>
        <v>9</v>
      </c>
      <c r="H46" s="42">
        <f t="shared" ref="H46:I46" si="33">L15</f>
        <v>9</v>
      </c>
      <c r="I46" s="42">
        <f t="shared" si="33"/>
        <v>9</v>
      </c>
      <c r="J46" s="13">
        <f t="shared" si="10"/>
        <v>8.5</v>
      </c>
      <c r="K46" s="29">
        <f t="shared" si="11"/>
        <v>6.5</v>
      </c>
      <c r="L46" s="13">
        <f t="shared" si="12"/>
        <v>9</v>
      </c>
      <c r="M46" s="13">
        <f t="shared" si="13"/>
        <v>8</v>
      </c>
      <c r="N46" s="44">
        <f t="shared" si="21"/>
        <v>94.91</v>
      </c>
      <c r="O46">
        <f t="shared" si="22"/>
        <v>94.91</v>
      </c>
    </row>
    <row r="47" spans="1:34" x14ac:dyDescent="0.25">
      <c r="A47" s="13"/>
      <c r="B47" s="13">
        <f t="shared" si="14"/>
        <v>8.75</v>
      </c>
      <c r="C47" s="35">
        <f t="shared" si="15"/>
        <v>9</v>
      </c>
      <c r="D47" s="35">
        <f t="shared" si="16"/>
        <v>9</v>
      </c>
      <c r="E47" s="42">
        <f t="shared" si="17"/>
        <v>8</v>
      </c>
      <c r="F47" s="31">
        <f t="shared" si="18"/>
        <v>9</v>
      </c>
      <c r="G47" s="42">
        <f t="shared" si="19"/>
        <v>6</v>
      </c>
      <c r="H47" s="42">
        <f t="shared" ref="H47:I47" si="34">L16</f>
        <v>9</v>
      </c>
      <c r="I47" s="42">
        <f t="shared" si="34"/>
        <v>9</v>
      </c>
      <c r="J47" s="13">
        <f t="shared" si="10"/>
        <v>6.5</v>
      </c>
      <c r="K47" s="29">
        <f t="shared" si="11"/>
        <v>7</v>
      </c>
      <c r="L47" s="13">
        <f t="shared" si="12"/>
        <v>9</v>
      </c>
      <c r="M47" s="13">
        <f t="shared" si="13"/>
        <v>9</v>
      </c>
      <c r="N47" s="44">
        <f t="shared" si="21"/>
        <v>91.9</v>
      </c>
      <c r="O47">
        <f t="shared" si="22"/>
        <v>91.9</v>
      </c>
    </row>
    <row r="48" spans="1:34" x14ac:dyDescent="0.25">
      <c r="A48" s="13"/>
      <c r="B48" s="13">
        <f t="shared" si="14"/>
        <v>6.75</v>
      </c>
      <c r="C48" s="35">
        <f t="shared" si="15"/>
        <v>5</v>
      </c>
      <c r="D48" s="35">
        <f t="shared" si="16"/>
        <v>4</v>
      </c>
      <c r="E48" s="42">
        <f t="shared" si="17"/>
        <v>4</v>
      </c>
      <c r="F48" s="31">
        <f t="shared" si="18"/>
        <v>5</v>
      </c>
      <c r="G48" s="42">
        <f t="shared" si="19"/>
        <v>7</v>
      </c>
      <c r="H48" s="42">
        <f t="shared" ref="H48:I48" si="35">L17</f>
        <v>6</v>
      </c>
      <c r="I48" s="42">
        <f t="shared" si="35"/>
        <v>0</v>
      </c>
      <c r="J48" s="13">
        <f t="shared" si="10"/>
        <v>6.5</v>
      </c>
      <c r="K48" s="29">
        <f t="shared" si="11"/>
        <v>3</v>
      </c>
      <c r="L48" s="13">
        <f t="shared" si="12"/>
        <v>7.5</v>
      </c>
      <c r="M48" s="13">
        <f t="shared" si="13"/>
        <v>8</v>
      </c>
      <c r="N48" s="44">
        <f t="shared" si="21"/>
        <v>58.1</v>
      </c>
      <c r="O48">
        <f t="shared" si="22"/>
        <v>58.1</v>
      </c>
    </row>
    <row r="49" spans="1:34" x14ac:dyDescent="0.25">
      <c r="A49" s="13"/>
      <c r="B49" s="13">
        <f t="shared" si="14"/>
        <v>9</v>
      </c>
      <c r="C49" s="35">
        <f t="shared" si="15"/>
        <v>9</v>
      </c>
      <c r="D49" s="35">
        <f t="shared" si="16"/>
        <v>9</v>
      </c>
      <c r="E49" s="42">
        <f t="shared" si="17"/>
        <v>9</v>
      </c>
      <c r="F49" s="31">
        <f t="shared" si="18"/>
        <v>9</v>
      </c>
      <c r="G49" s="42">
        <f t="shared" si="19"/>
        <v>9</v>
      </c>
      <c r="H49" s="42">
        <f t="shared" ref="H49:I49" si="36">L18</f>
        <v>9</v>
      </c>
      <c r="I49" s="42">
        <f t="shared" si="36"/>
        <v>9</v>
      </c>
      <c r="J49" s="13">
        <f t="shared" si="10"/>
        <v>8.5</v>
      </c>
      <c r="K49" s="29">
        <f t="shared" si="11"/>
        <v>8.5</v>
      </c>
      <c r="L49" s="13">
        <f t="shared" si="12"/>
        <v>9</v>
      </c>
      <c r="M49" s="13">
        <f t="shared" si="13"/>
        <v>9</v>
      </c>
      <c r="N49" s="44">
        <f t="shared" si="21"/>
        <v>99.07</v>
      </c>
      <c r="O49">
        <f t="shared" si="22"/>
        <v>99.07</v>
      </c>
    </row>
    <row r="50" spans="1:34" x14ac:dyDescent="0.25">
      <c r="A50" s="13"/>
      <c r="B50" s="13">
        <f t="shared" si="14"/>
        <v>8</v>
      </c>
      <c r="C50" s="35">
        <f t="shared" si="15"/>
        <v>9</v>
      </c>
      <c r="D50" s="35">
        <f t="shared" si="16"/>
        <v>9</v>
      </c>
      <c r="E50" s="42">
        <f t="shared" si="17"/>
        <v>9</v>
      </c>
      <c r="F50" s="31">
        <f t="shared" si="18"/>
        <v>4</v>
      </c>
      <c r="G50" s="42">
        <f t="shared" si="19"/>
        <v>9</v>
      </c>
      <c r="H50" s="42">
        <f t="shared" ref="H50:I50" si="37">L19</f>
        <v>9</v>
      </c>
      <c r="I50" s="42">
        <f t="shared" si="37"/>
        <v>9</v>
      </c>
      <c r="J50" s="13">
        <f t="shared" si="10"/>
        <v>4</v>
      </c>
      <c r="K50" s="29">
        <f t="shared" si="11"/>
        <v>6.5</v>
      </c>
      <c r="L50" s="13">
        <f t="shared" si="12"/>
        <v>9</v>
      </c>
      <c r="M50" s="13">
        <f t="shared" si="13"/>
        <v>4</v>
      </c>
      <c r="N50" s="44">
        <f t="shared" si="21"/>
        <v>82.87</v>
      </c>
      <c r="O50">
        <f t="shared" si="22"/>
        <v>82.87</v>
      </c>
    </row>
    <row r="51" spans="1:34" x14ac:dyDescent="0.25">
      <c r="A51" s="13"/>
      <c r="B51" s="13">
        <f t="shared" si="14"/>
        <v>8</v>
      </c>
      <c r="C51" s="35">
        <f t="shared" si="15"/>
        <v>9</v>
      </c>
      <c r="D51" s="35">
        <f t="shared" si="16"/>
        <v>9</v>
      </c>
      <c r="E51" s="42">
        <f t="shared" si="17"/>
        <v>9</v>
      </c>
      <c r="F51" s="31">
        <f t="shared" si="18"/>
        <v>4</v>
      </c>
      <c r="G51" s="42">
        <f t="shared" si="19"/>
        <v>9</v>
      </c>
      <c r="H51" s="42">
        <f t="shared" ref="H51:I51" si="38">L20</f>
        <v>9</v>
      </c>
      <c r="I51" s="42">
        <f t="shared" si="38"/>
        <v>9</v>
      </c>
      <c r="J51" s="13">
        <f t="shared" si="10"/>
        <v>4</v>
      </c>
      <c r="K51" s="29">
        <f t="shared" si="11"/>
        <v>6.5</v>
      </c>
      <c r="L51" s="13">
        <f t="shared" si="12"/>
        <v>9</v>
      </c>
      <c r="M51" s="13">
        <f t="shared" si="13"/>
        <v>4</v>
      </c>
      <c r="N51" s="44">
        <f t="shared" si="21"/>
        <v>82.87</v>
      </c>
      <c r="O51">
        <f t="shared" si="22"/>
        <v>82.87</v>
      </c>
    </row>
    <row r="52" spans="1:34" x14ac:dyDescent="0.25">
      <c r="A52" s="13"/>
      <c r="B52" s="13">
        <f t="shared" si="14"/>
        <v>8</v>
      </c>
      <c r="C52" s="35">
        <f t="shared" si="15"/>
        <v>9</v>
      </c>
      <c r="D52" s="35">
        <f t="shared" si="16"/>
        <v>9</v>
      </c>
      <c r="E52" s="42">
        <f t="shared" si="17"/>
        <v>9</v>
      </c>
      <c r="F52" s="31">
        <f t="shared" si="18"/>
        <v>4</v>
      </c>
      <c r="G52" s="42">
        <f t="shared" si="19"/>
        <v>9</v>
      </c>
      <c r="H52" s="42">
        <f t="shared" ref="H52:I52" si="39">L21</f>
        <v>9</v>
      </c>
      <c r="I52" s="42">
        <f t="shared" si="39"/>
        <v>9</v>
      </c>
      <c r="J52" s="13">
        <f t="shared" si="10"/>
        <v>4</v>
      </c>
      <c r="K52" s="29">
        <f t="shared" si="11"/>
        <v>6.5</v>
      </c>
      <c r="L52" s="13">
        <f t="shared" si="12"/>
        <v>9</v>
      </c>
      <c r="M52" s="13">
        <f t="shared" si="13"/>
        <v>4</v>
      </c>
      <c r="N52" s="44">
        <f t="shared" si="21"/>
        <v>82.87</v>
      </c>
      <c r="O52">
        <f t="shared" si="22"/>
        <v>82.87</v>
      </c>
    </row>
    <row r="53" spans="1:34" x14ac:dyDescent="0.25">
      <c r="A53" s="13"/>
      <c r="B53" s="13">
        <f t="shared" si="14"/>
        <v>7.5</v>
      </c>
      <c r="C53" s="35">
        <f t="shared" si="15"/>
        <v>9</v>
      </c>
      <c r="D53" s="35">
        <f t="shared" si="16"/>
        <v>9</v>
      </c>
      <c r="E53" s="42">
        <f t="shared" si="17"/>
        <v>9</v>
      </c>
      <c r="F53" s="31">
        <f t="shared" si="18"/>
        <v>4</v>
      </c>
      <c r="G53" s="42">
        <f t="shared" si="19"/>
        <v>9</v>
      </c>
      <c r="H53" s="42">
        <f t="shared" ref="H53:I53" si="40">L22</f>
        <v>9</v>
      </c>
      <c r="I53" s="42">
        <f t="shared" si="40"/>
        <v>9</v>
      </c>
      <c r="J53" s="13">
        <f t="shared" si="10"/>
        <v>4</v>
      </c>
      <c r="K53" s="29">
        <f t="shared" si="11"/>
        <v>6.5</v>
      </c>
      <c r="L53" s="13">
        <f t="shared" si="12"/>
        <v>9</v>
      </c>
      <c r="M53" s="13">
        <f t="shared" si="13"/>
        <v>4</v>
      </c>
      <c r="N53" s="44">
        <f t="shared" si="21"/>
        <v>82.41</v>
      </c>
      <c r="O53">
        <f t="shared" si="22"/>
        <v>82.41</v>
      </c>
    </row>
    <row r="54" spans="1:34" x14ac:dyDescent="0.25">
      <c r="A54" s="13"/>
      <c r="B54" s="13">
        <f t="shared" si="14"/>
        <v>7.5</v>
      </c>
      <c r="C54" s="35">
        <f t="shared" si="15"/>
        <v>9</v>
      </c>
      <c r="D54" s="35">
        <f t="shared" si="16"/>
        <v>9</v>
      </c>
      <c r="E54" s="42">
        <f t="shared" si="17"/>
        <v>9</v>
      </c>
      <c r="F54" s="31">
        <f t="shared" si="18"/>
        <v>4</v>
      </c>
      <c r="G54" s="42">
        <f t="shared" si="19"/>
        <v>9</v>
      </c>
      <c r="H54" s="42">
        <f t="shared" ref="H54:I54" si="41">L23</f>
        <v>9</v>
      </c>
      <c r="I54" s="42">
        <f t="shared" si="41"/>
        <v>9</v>
      </c>
      <c r="J54" s="13">
        <f t="shared" si="10"/>
        <v>4</v>
      </c>
      <c r="K54" s="29">
        <f t="shared" si="11"/>
        <v>6.5</v>
      </c>
      <c r="L54" s="13">
        <f t="shared" si="12"/>
        <v>9</v>
      </c>
      <c r="M54" s="13">
        <f t="shared" si="13"/>
        <v>4</v>
      </c>
      <c r="N54" s="44">
        <f t="shared" si="21"/>
        <v>82.41</v>
      </c>
      <c r="O54">
        <f t="shared" si="22"/>
        <v>82.41</v>
      </c>
    </row>
    <row r="55" spans="1:34" x14ac:dyDescent="0.25">
      <c r="A55" s="13"/>
      <c r="B55" s="13">
        <f t="shared" si="14"/>
        <v>7.5</v>
      </c>
      <c r="C55" s="35">
        <f t="shared" si="15"/>
        <v>9</v>
      </c>
      <c r="D55" s="35">
        <f t="shared" si="16"/>
        <v>9</v>
      </c>
      <c r="E55" s="42">
        <f t="shared" si="17"/>
        <v>9</v>
      </c>
      <c r="F55" s="31">
        <f t="shared" si="18"/>
        <v>4</v>
      </c>
      <c r="G55" s="42">
        <f t="shared" si="19"/>
        <v>9</v>
      </c>
      <c r="H55" s="42">
        <f t="shared" ref="H55:I55" si="42">L24</f>
        <v>9</v>
      </c>
      <c r="I55" s="42">
        <f t="shared" si="42"/>
        <v>9</v>
      </c>
      <c r="J55" s="13">
        <f t="shared" si="10"/>
        <v>4</v>
      </c>
      <c r="K55" s="29">
        <f t="shared" si="11"/>
        <v>6.5</v>
      </c>
      <c r="L55" s="13">
        <f t="shared" si="12"/>
        <v>9</v>
      </c>
      <c r="M55" s="13">
        <f t="shared" si="13"/>
        <v>4</v>
      </c>
      <c r="N55" s="44">
        <f t="shared" si="21"/>
        <v>82.41</v>
      </c>
      <c r="O55">
        <f t="shared" si="22"/>
        <v>82.41</v>
      </c>
      <c r="Z55">
        <v>17.484350943765403</v>
      </c>
      <c r="AA55">
        <v>20.495700851814924</v>
      </c>
      <c r="AB55">
        <v>25.13392060636976</v>
      </c>
      <c r="AC55">
        <v>25.929361416025923</v>
      </c>
      <c r="AD55">
        <v>22.32420083260288</v>
      </c>
      <c r="AE55">
        <v>20.206829634346892</v>
      </c>
      <c r="AF55">
        <v>13.890091338039554</v>
      </c>
      <c r="AG55">
        <v>7.9958101903213832</v>
      </c>
      <c r="AH55">
        <v>22.461434951302984</v>
      </c>
    </row>
    <row r="56" spans="1:34" x14ac:dyDescent="0.25">
      <c r="A56" s="13"/>
      <c r="B56" s="13"/>
      <c r="D56" s="13"/>
      <c r="E56" s="13"/>
      <c r="F56" s="29"/>
      <c r="G56" s="13"/>
      <c r="H56" s="13"/>
      <c r="I56" s="13"/>
      <c r="J56" s="13"/>
      <c r="K56" s="29"/>
      <c r="L56" s="13"/>
      <c r="M56" s="13"/>
      <c r="N56" s="44"/>
    </row>
    <row r="57" spans="1:34" x14ac:dyDescent="0.25">
      <c r="A57" s="13"/>
      <c r="B57" s="13">
        <f>ROUND(100*AVERAGE(B34:B55)/9,2)</f>
        <v>86.87</v>
      </c>
      <c r="C57" s="13">
        <f t="shared" ref="C57:M57" si="43">ROUND(100*AVERAGE(C34:C55)/9,2)</f>
        <v>91.41</v>
      </c>
      <c r="D57" s="13">
        <f t="shared" si="43"/>
        <v>83.33</v>
      </c>
      <c r="E57" s="13">
        <f t="shared" si="43"/>
        <v>88.89</v>
      </c>
      <c r="F57" s="13">
        <f t="shared" si="43"/>
        <v>71.72</v>
      </c>
      <c r="G57" s="13">
        <f t="shared" si="43"/>
        <v>83.84</v>
      </c>
      <c r="H57" s="13">
        <f t="shared" si="43"/>
        <v>85.86</v>
      </c>
      <c r="I57" s="13">
        <f t="shared" si="43"/>
        <v>92.42</v>
      </c>
      <c r="J57" s="13">
        <f t="shared" si="43"/>
        <v>71.72</v>
      </c>
      <c r="K57" s="13">
        <f t="shared" si="43"/>
        <v>76.77</v>
      </c>
      <c r="L57" s="13">
        <f t="shared" si="43"/>
        <v>97.22</v>
      </c>
      <c r="M57" s="13">
        <f t="shared" si="43"/>
        <v>78.790000000000006</v>
      </c>
      <c r="N57" s="44">
        <f>ROUND(AVERAGE(N34:N56),2)</f>
        <v>84.07</v>
      </c>
      <c r="O57" s="44">
        <f>ROUND(AVERAGE(O34:O56),2)</f>
        <v>84.07</v>
      </c>
      <c r="W57" s="32"/>
    </row>
    <row r="58" spans="1:34" x14ac:dyDescent="0.25">
      <c r="A58" s="13"/>
      <c r="B58" s="13">
        <f>100*_xlfn.STDEV.S(B34:B55)/9</f>
        <v>14.75305790853942</v>
      </c>
      <c r="C58" s="13">
        <f t="shared" ref="C58:M58" si="44">100*_xlfn.STDEV.S(C34:C55)/9</f>
        <v>22.984752807724391</v>
      </c>
      <c r="D58" s="13">
        <f t="shared" si="44"/>
        <v>28.637489766140821</v>
      </c>
      <c r="E58" s="13">
        <f t="shared" si="44"/>
        <v>17.484350943765403</v>
      </c>
      <c r="F58" s="13">
        <f t="shared" si="44"/>
        <v>20.495700851814924</v>
      </c>
      <c r="G58" s="13">
        <f t="shared" si="44"/>
        <v>25.13392060636976</v>
      </c>
      <c r="H58" s="13">
        <f t="shared" si="44"/>
        <v>25.929361416025923</v>
      </c>
      <c r="I58" s="13">
        <f t="shared" si="44"/>
        <v>22.32420083260288</v>
      </c>
      <c r="J58" s="13">
        <f t="shared" si="44"/>
        <v>20.206829634346892</v>
      </c>
      <c r="K58" s="13">
        <f t="shared" si="44"/>
        <v>13.890091338039554</v>
      </c>
      <c r="L58" s="13">
        <f t="shared" si="44"/>
        <v>7.9958101903213832</v>
      </c>
      <c r="M58" s="13">
        <f t="shared" si="44"/>
        <v>22.461434951302984</v>
      </c>
      <c r="N58" s="44">
        <f>_xlfn.STDEV.S(N34:N55)</f>
        <v>11.850423933454755</v>
      </c>
      <c r="O58" s="44">
        <f>_xlfn.STDEV.S(O34:O55)</f>
        <v>11.850423933454755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 responses 1-compiled</vt:lpstr>
      <vt:lpstr>Form responses 1-means-std</vt:lpstr>
      <vt:lpstr>Form responses -raw</vt:lpstr>
      <vt:lpstr>UsabilityScaleOrigin</vt:lpstr>
      <vt:lpstr>UsabilityScale</vt:lpstr>
      <vt:lpstr>UsabilityScale2_Paper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Mamoun Awad</dc:creator>
  <cp:lastModifiedBy>Mamoun Awad</cp:lastModifiedBy>
  <dcterms:created xsi:type="dcterms:W3CDTF">2025-05-21T14:21:15Z</dcterms:created>
  <dcterms:modified xsi:type="dcterms:W3CDTF">2025-06-24T20:09:00Z</dcterms:modified>
</cp:coreProperties>
</file>